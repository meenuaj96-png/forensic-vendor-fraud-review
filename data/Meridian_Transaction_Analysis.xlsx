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ummary" sheetId="1" state="visible" r:id="rId3"/>
    <sheet name="Assumptions" sheetId="2" state="visible" r:id="rId4"/>
    <sheet name="Payments" sheetId="3" state="visible" r:id="rId5"/>
    <sheet name="Vendor Master" sheetId="4" state="visible" r:id="rId6"/>
  </sheets>
  <definedNames>
    <definedName function="false" hidden="true" localSheetId="2" name="_xlnm._FilterDatabase" vbProcedure="false">Payments!$A$1:$P$49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<sst xmlns="http://schemas.openxmlformats.org/spreadsheetml/2006/main" count="332" uniqueCount="180">
  <si>
    <t xml:space="preserve">Test summary: vendor payment review (fictional case)</t>
  </si>
  <si>
    <t xml:space="preserve">#</t>
  </si>
  <si>
    <t xml:space="preserve">Test</t>
  </si>
  <si>
    <t xml:space="preserve">Rationale</t>
  </si>
  <si>
    <t xml:space="preserve">Payments flagged</t>
  </si>
  <si>
    <t xml:space="preserve">Amount flagged (INR)</t>
  </si>
  <si>
    <t xml:space="preserve">% of total spend</t>
  </si>
  <si>
    <t xml:space="preserve">Near approval threshold</t>
  </si>
  <si>
    <t xml:space="preserve">Possible splitting to avoid dual approval</t>
  </si>
  <si>
    <t xml:space="preserve">Round-number payments</t>
  </si>
  <si>
    <t xml:space="preserve">Estimated or invented amounts, not invoice-driven</t>
  </si>
  <si>
    <t xml:space="preserve">Weekend payments</t>
  </si>
  <si>
    <t xml:space="preserve">Unusual timing, possible bypass of normal controls</t>
  </si>
  <si>
    <t xml:space="preserve">Duplicate invoice numbers (all occurrences)</t>
  </si>
  <si>
    <t xml:space="preserve">Possible duplicate payment</t>
  </si>
  <si>
    <t xml:space="preserve">Offshore bank account</t>
  </si>
  <si>
    <t xml:space="preserve">Payee outside home country, higher bribery and laundering risk</t>
  </si>
  <si>
    <t xml:space="preserve">Duplicate overpayment (repeat occurrences only)</t>
  </si>
  <si>
    <t xml:space="preserve">Cash actually overpaid</t>
  </si>
  <si>
    <t xml:space="preserve">Total spend reviewed</t>
  </si>
  <si>
    <t xml:space="preserve">Payments with 2+ flags</t>
  </si>
  <si>
    <t xml:space="preserve">Note: flags are red flags for follow-up, not proof of wrongdoing. Parameters are on the Assumptions sheet.</t>
  </si>
  <si>
    <t xml:space="preserve">Test parameters (fictional case: Meridian Components Pvt Ltd)</t>
  </si>
  <si>
    <t xml:space="preserve">Parameter</t>
  </si>
  <si>
    <t xml:space="preserve">Value</t>
  </si>
  <si>
    <t xml:space="preserve">Basis</t>
  </si>
  <si>
    <t xml:space="preserve">Dual-approval threshold (INR)</t>
  </si>
  <si>
    <t xml:space="preserve">Assumed internal policy for this case study</t>
  </si>
  <si>
    <t xml:space="preserve">Near-threshold band (fraction below limit)</t>
  </si>
  <si>
    <t xml:space="preserve">Payments within 2% below the limit are flagged (analyst judgement)</t>
  </si>
  <si>
    <t xml:space="preserve">Round-number test divisor (INR)</t>
  </si>
  <si>
    <t xml:space="preserve">Amounts divisible by this are flagged (analyst judgement)</t>
  </si>
  <si>
    <t xml:space="preserve">Home bank country code</t>
  </si>
  <si>
    <t xml:space="preserve">IN</t>
  </si>
  <si>
    <t xml:space="preserve">Any other country is flagged as offshore</t>
  </si>
  <si>
    <t xml:space="preserve">Blue text on yellow = editable inputs. All data in this workbook is fictional.</t>
  </si>
  <si>
    <t xml:space="preserve">Txn ID</t>
  </si>
  <si>
    <t xml:space="preserve">Pay date</t>
  </si>
  <si>
    <t xml:space="preserve">Vendor</t>
  </si>
  <si>
    <t xml:space="preserve">Invoice no.</t>
  </si>
  <si>
    <t xml:space="preserve">Description</t>
  </si>
  <si>
    <t xml:space="preserve">Amount (INR)</t>
  </si>
  <si>
    <t xml:space="preserve">Approvals</t>
  </si>
  <si>
    <t xml:space="preserve">Bank country</t>
  </si>
  <si>
    <t xml:space="preserve">Weekday</t>
  </si>
  <si>
    <t xml:space="preserve">Near threshold</t>
  </si>
  <si>
    <t xml:space="preserve">Round number</t>
  </si>
  <si>
    <t xml:space="preserve">Weekend</t>
  </si>
  <si>
    <t xml:space="preserve">Duplicate invoice</t>
  </si>
  <si>
    <t xml:space="preserve">Repeat payment</t>
  </si>
  <si>
    <t xml:space="preserve">Offshore</t>
  </si>
  <si>
    <t xml:space="preserve">Flags (count)</t>
  </si>
  <si>
    <t xml:space="preserve">T001</t>
  </si>
  <si>
    <t xml:space="preserve">Coastal Freight Carriers</t>
  </si>
  <si>
    <t xml:space="preserve">COA/01/664</t>
  </si>
  <si>
    <t xml:space="preserve">Domestic freight</t>
  </si>
  <si>
    <t xml:space="preserve">T002</t>
  </si>
  <si>
    <t xml:space="preserve">Kaveri Packaging Pvt Ltd</t>
  </si>
  <si>
    <t xml:space="preserve">KAV/01/149</t>
  </si>
  <si>
    <t xml:space="preserve">Packaging material</t>
  </si>
  <si>
    <t xml:space="preserve">T003</t>
  </si>
  <si>
    <t xml:space="preserve">Sterling Marine Consultants LLC</t>
  </si>
  <si>
    <t xml:space="preserve">SMC-101</t>
  </si>
  <si>
    <t xml:space="preserve">Consulting services - port liaison</t>
  </si>
  <si>
    <t xml:space="preserve">AE</t>
  </si>
  <si>
    <t xml:space="preserve">T004</t>
  </si>
  <si>
    <t xml:space="preserve">Southern Steel Traders</t>
  </si>
  <si>
    <t xml:space="preserve">SOU/01/696</t>
  </si>
  <si>
    <t xml:space="preserve">Steel sheets</t>
  </si>
  <si>
    <t xml:space="preserve">T005</t>
  </si>
  <si>
    <t xml:space="preserve">Brightline IT Services</t>
  </si>
  <si>
    <t xml:space="preserve">BRI/01/188</t>
  </si>
  <si>
    <t xml:space="preserve">IT support</t>
  </si>
  <si>
    <t xml:space="preserve">T006</t>
  </si>
  <si>
    <t xml:space="preserve">Orion Clearance Associates</t>
  </si>
  <si>
    <t xml:space="preserve">OCA-20</t>
  </si>
  <si>
    <t xml:space="preserve">Clearance and facilitation charges</t>
  </si>
  <si>
    <t xml:space="preserve">T007</t>
  </si>
  <si>
    <t xml:space="preserve">SMC-102</t>
  </si>
  <si>
    <t xml:space="preserve">T008</t>
  </si>
  <si>
    <t xml:space="preserve">KAV/02/745</t>
  </si>
  <si>
    <t xml:space="preserve">T009</t>
  </si>
  <si>
    <t xml:space="preserve">KAV/03/979</t>
  </si>
  <si>
    <t xml:space="preserve">T010</t>
  </si>
  <si>
    <t xml:space="preserve">SMC-103</t>
  </si>
  <si>
    <t xml:space="preserve">T011</t>
  </si>
  <si>
    <t xml:space="preserve">SOU/03/220</t>
  </si>
  <si>
    <t xml:space="preserve">T012</t>
  </si>
  <si>
    <t xml:space="preserve">BRI/04/733</t>
  </si>
  <si>
    <t xml:space="preserve">T013</t>
  </si>
  <si>
    <t xml:space="preserve">OCA-21</t>
  </si>
  <si>
    <t xml:space="preserve">T014</t>
  </si>
  <si>
    <t xml:space="preserve">SMC-104</t>
  </si>
  <si>
    <t xml:space="preserve">T015</t>
  </si>
  <si>
    <t xml:space="preserve">SOU/04/481</t>
  </si>
  <si>
    <t xml:space="preserve">T016</t>
  </si>
  <si>
    <t xml:space="preserve">COA/04/895</t>
  </si>
  <si>
    <t xml:space="preserve">T017</t>
  </si>
  <si>
    <t xml:space="preserve">COA/05/528</t>
  </si>
  <si>
    <t xml:space="preserve">T018</t>
  </si>
  <si>
    <t xml:space="preserve">SOU/05/417</t>
  </si>
  <si>
    <t xml:space="preserve">T019</t>
  </si>
  <si>
    <t xml:space="preserve">SOU/05/688</t>
  </si>
  <si>
    <t xml:space="preserve">T020</t>
  </si>
  <si>
    <t xml:space="preserve">BRI/05/559</t>
  </si>
  <si>
    <t xml:space="preserve">T021</t>
  </si>
  <si>
    <t xml:space="preserve">KAV/05/406</t>
  </si>
  <si>
    <t xml:space="preserve">T022</t>
  </si>
  <si>
    <t xml:space="preserve">SMC-105</t>
  </si>
  <si>
    <t xml:space="preserve">T023</t>
  </si>
  <si>
    <t xml:space="preserve">T024</t>
  </si>
  <si>
    <t xml:space="preserve">OCA-22</t>
  </si>
  <si>
    <t xml:space="preserve">T025</t>
  </si>
  <si>
    <t xml:space="preserve">SMC-106</t>
  </si>
  <si>
    <t xml:space="preserve">T026</t>
  </si>
  <si>
    <t xml:space="preserve">KAV/06/531</t>
  </si>
  <si>
    <t xml:space="preserve">T027</t>
  </si>
  <si>
    <t xml:space="preserve">SOU/06/671</t>
  </si>
  <si>
    <t xml:space="preserve">T028</t>
  </si>
  <si>
    <t xml:space="preserve">BRI/07/813</t>
  </si>
  <si>
    <t xml:space="preserve">T029</t>
  </si>
  <si>
    <t xml:space="preserve">KAV/07/693</t>
  </si>
  <si>
    <t xml:space="preserve">T030</t>
  </si>
  <si>
    <t xml:space="preserve">SMC-107</t>
  </si>
  <si>
    <t xml:space="preserve">T031</t>
  </si>
  <si>
    <t xml:space="preserve">KAV/08/797</t>
  </si>
  <si>
    <t xml:space="preserve">T032</t>
  </si>
  <si>
    <t xml:space="preserve">OCA-23</t>
  </si>
  <si>
    <t xml:space="preserve">T033</t>
  </si>
  <si>
    <t xml:space="preserve">BRI/08/123</t>
  </si>
  <si>
    <t xml:space="preserve">T034</t>
  </si>
  <si>
    <t xml:space="preserve">SMC-108</t>
  </si>
  <si>
    <t xml:space="preserve">T035</t>
  </si>
  <si>
    <t xml:space="preserve">SOU/09/353</t>
  </si>
  <si>
    <t xml:space="preserve">T036</t>
  </si>
  <si>
    <t xml:space="preserve">COA/09/984</t>
  </si>
  <si>
    <t xml:space="preserve">T037</t>
  </si>
  <si>
    <t xml:space="preserve">SMC-109</t>
  </si>
  <si>
    <t xml:space="preserve">T038</t>
  </si>
  <si>
    <t xml:space="preserve">BRI/09/559</t>
  </si>
  <si>
    <t xml:space="preserve">T039</t>
  </si>
  <si>
    <t xml:space="preserve">KAV/09/160</t>
  </si>
  <si>
    <t xml:space="preserve">T040</t>
  </si>
  <si>
    <t xml:space="preserve">Harbourview Events &amp; Hospitality</t>
  </si>
  <si>
    <t xml:space="preserve">HEH-77</t>
  </si>
  <si>
    <t xml:space="preserve">Hospitality - customs department visit</t>
  </si>
  <si>
    <t xml:space="preserve">T041</t>
  </si>
  <si>
    <t xml:space="preserve">OCA-24</t>
  </si>
  <si>
    <t xml:space="preserve">T042</t>
  </si>
  <si>
    <t xml:space="preserve">SMC-110</t>
  </si>
  <si>
    <t xml:space="preserve">T043</t>
  </si>
  <si>
    <t xml:space="preserve">KAV/11/280</t>
  </si>
  <si>
    <t xml:space="preserve">T044</t>
  </si>
  <si>
    <t xml:space="preserve">COA/11/529</t>
  </si>
  <si>
    <t xml:space="preserve">T045</t>
  </si>
  <si>
    <t xml:space="preserve">SOU/11/596</t>
  </si>
  <si>
    <t xml:space="preserve">T046</t>
  </si>
  <si>
    <t xml:space="preserve">KAV/12/228</t>
  </si>
  <si>
    <t xml:space="preserve">T047</t>
  </si>
  <si>
    <t xml:space="preserve">BRI/12/857</t>
  </si>
  <si>
    <t xml:space="preserve">T048</t>
  </si>
  <si>
    <t xml:space="preserve">COA/12/507</t>
  </si>
  <si>
    <t xml:space="preserve">Created</t>
  </si>
  <si>
    <t xml:space="preserve">Address / notes</t>
  </si>
  <si>
    <t xml:space="preserve">Onboarded by</t>
  </si>
  <si>
    <t xml:space="preserve">First payment</t>
  </si>
  <si>
    <t xml:space="preserve">Days to first payment</t>
  </si>
  <si>
    <t xml:space="preserve">Payments</t>
  </si>
  <si>
    <t xml:space="preserve">Total (INR)</t>
  </si>
  <si>
    <t xml:space="preserve">Share of spend</t>
  </si>
  <si>
    <t xml:space="preserve">Flags (sum)</t>
  </si>
  <si>
    <t xml:space="preserve">Kollam industrial estate</t>
  </si>
  <si>
    <t xml:space="preserve">Procurement committee</t>
  </si>
  <si>
    <t xml:space="preserve">Coimbatore</t>
  </si>
  <si>
    <t xml:space="preserve">Kochi</t>
  </si>
  <si>
    <t xml:space="preserve">Kollam port road</t>
  </si>
  <si>
    <t xml:space="preserve">Free-zone address; no website; same contact number as employee E-014</t>
  </si>
  <si>
    <t xml:space="preserve">E-014 (Procurement Manager) only</t>
  </si>
  <si>
    <t xml:space="preserve">Residential address; no GST on early invoices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</si>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</sst>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dd\-mmm\-yyyy"/>
    <numFmt numFmtId="16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n">
        <v>1</v>
      </c>
      <c r="B4" s="3" t="s">
        <v>7</v>
      </c>
      <c r="C4" s="3" t="s">
        <v>8</v>
      </c>
      <c r="D4" s="3" t="n">
        <f aca="false">SUM(Payments!J2:J49)</f>
        <v>10</v>
      </c>
      <c r="E4" s="4" t="n">
        <f aca="false">SUMIF(Payments!J2:J49,1,Payments!F2:F49)</f>
        <v>4984000</v>
      </c>
      <c r="F4" s="5" t="n">
        <f aca="false">E4/$E$11</f>
        <v>0.426523241665638</v>
      </c>
    </row>
    <row r="5" customFormat="false" ht="15" hidden="false" customHeight="false" outlineLevel="0" collapsed="false">
      <c r="A5" s="3" t="n">
        <v>2</v>
      </c>
      <c r="B5" s="3" t="s">
        <v>9</v>
      </c>
      <c r="C5" s="3" t="s">
        <v>10</v>
      </c>
      <c r="D5" s="3" t="n">
        <f aca="false">SUM(Payments!K2:K49)</f>
        <v>5</v>
      </c>
      <c r="E5" s="4" t="n">
        <f aca="false">SUMIF(Payments!K2:K49,1,Payments!F2:F49)</f>
        <v>1450000</v>
      </c>
      <c r="F5" s="5" t="n">
        <f aca="false">E5/$E$11</f>
        <v>0.124088824320862</v>
      </c>
    </row>
    <row r="6" customFormat="false" ht="15" hidden="false" customHeight="false" outlineLevel="0" collapsed="false">
      <c r="A6" s="3" t="n">
        <v>3</v>
      </c>
      <c r="B6" s="3" t="s">
        <v>11</v>
      </c>
      <c r="C6" s="3" t="s">
        <v>12</v>
      </c>
      <c r="D6" s="3" t="n">
        <f aca="false">SUM(Payments!L2:L49)</f>
        <v>17</v>
      </c>
      <c r="E6" s="4" t="n">
        <f aca="false">SUMIF(Payments!L2:L49,1,Payments!F2:F49)</f>
        <v>5834891</v>
      </c>
      <c r="F6" s="5" t="n">
        <f aca="false">E6/$E$11</f>
        <v>0.499341216710606</v>
      </c>
    </row>
    <row r="7" customFormat="false" ht="15" hidden="false" customHeight="false" outlineLevel="0" collapsed="false">
      <c r="A7" s="3" t="n">
        <v>4</v>
      </c>
      <c r="B7" s="3" t="s">
        <v>13</v>
      </c>
      <c r="C7" s="3" t="s">
        <v>14</v>
      </c>
      <c r="D7" s="3" t="n">
        <f aca="false">SUM(Payments!M2:M49)</f>
        <v>2</v>
      </c>
      <c r="E7" s="4" t="n">
        <f aca="false">SUMIF(Payments!M2:M49,1,Payments!F2:F49)</f>
        <v>624900</v>
      </c>
      <c r="F7" s="5" t="n">
        <f aca="false">E7/$E$11</f>
        <v>0.0534780043573149</v>
      </c>
    </row>
    <row r="8" customFormat="false" ht="15" hidden="false" customHeight="false" outlineLevel="0" collapsed="false">
      <c r="A8" s="3" t="n">
        <v>5</v>
      </c>
      <c r="B8" s="3" t="s">
        <v>15</v>
      </c>
      <c r="C8" s="3" t="s">
        <v>16</v>
      </c>
      <c r="D8" s="3" t="n">
        <f aca="false">SUM(Payments!O2:O49)</f>
        <v>10</v>
      </c>
      <c r="E8" s="4" t="n">
        <f aca="false">SUMIF(Payments!O2:O49,1,Payments!F2:F49)</f>
        <v>4984000</v>
      </c>
      <c r="F8" s="5" t="n">
        <f aca="false">E8/$E$11</f>
        <v>0.426523241665638</v>
      </c>
    </row>
    <row r="9" customFormat="false" ht="15" hidden="false" customHeight="false" outlineLevel="0" collapsed="false">
      <c r="A9" s="3" t="n">
        <v>6</v>
      </c>
      <c r="B9" s="3" t="s">
        <v>17</v>
      </c>
      <c r="C9" s="3" t="s">
        <v>18</v>
      </c>
      <c r="D9" s="3" t="n">
        <f aca="false">SUM(Payments!N2:N49)</f>
        <v>1</v>
      </c>
      <c r="E9" s="4" t="n">
        <f aca="false">SUMIF(Payments!N2:N49,1,Payments!F2:F49)</f>
        <v>312450</v>
      </c>
      <c r="F9" s="5" t="n">
        <f aca="false">E9/$E$11</f>
        <v>0.0267390021786574</v>
      </c>
    </row>
    <row r="11" customFormat="false" ht="15" hidden="false" customHeight="false" outlineLevel="0" collapsed="false">
      <c r="B11" s="6" t="s">
        <v>19</v>
      </c>
      <c r="D11" s="6" t="n">
        <f aca="false">COUNTA(Payments!A2:A49)</f>
        <v>48</v>
      </c>
      <c r="E11" s="7" t="n">
        <f aca="false">SUM(Payments!F2:F49)</f>
        <v>11685178</v>
      </c>
    </row>
    <row r="12" customFormat="false" ht="15" hidden="false" customHeight="false" outlineLevel="0" collapsed="false">
      <c r="B12" s="6" t="s">
        <v>20</v>
      </c>
      <c r="D12" s="6" t="n">
        <f aca="false">COUNTIF(Payments!P2:P49,"&gt;=2")</f>
        <v>10</v>
      </c>
      <c r="E12" s="7" t="n">
        <f aca="false">SUMIF(Payments!P2:P49,"&gt;=2",Payments!F2:F49)</f>
        <v>4984000</v>
      </c>
      <c r="F12" s="8" t="n">
        <f aca="false">E12/E11</f>
        <v>0.426523241665638</v>
      </c>
    </row>
    <row r="14" customFormat="false" ht="15" hidden="false" customHeight="false" outlineLevel="0" collapsed="false">
      <c r="B14" s="9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 t="s">
        <v>22</v>
      </c>
    </row>
    <row r="3" customFormat="false" ht="15" hidden="false" customHeight="false" outlineLevel="0" collapsed="false">
      <c r="A3" s="2" t="s">
        <v>23</v>
      </c>
      <c r="B3" s="2" t="s">
        <v>24</v>
      </c>
      <c r="C3" s="2" t="s">
        <v>25</v>
      </c>
    </row>
    <row r="4" customFormat="false" ht="15" hidden="false" customHeight="false" outlineLevel="0" collapsed="false">
      <c r="A4" s="3" t="s">
        <v>26</v>
      </c>
      <c r="B4" s="10" t="n">
        <v>500000</v>
      </c>
      <c r="C4" s="3" t="s">
        <v>27</v>
      </c>
    </row>
    <row r="5" customFormat="false" ht="15" hidden="false" customHeight="false" outlineLevel="0" collapsed="false">
      <c r="A5" s="3" t="s">
        <v>28</v>
      </c>
      <c r="B5" s="11" t="n">
        <v>0.02</v>
      </c>
      <c r="C5" s="3" t="s">
        <v>29</v>
      </c>
    </row>
    <row r="6" customFormat="false" ht="15" hidden="false" customHeight="false" outlineLevel="0" collapsed="false">
      <c r="A6" s="3" t="s">
        <v>30</v>
      </c>
      <c r="B6" s="10" t="n">
        <v>50000</v>
      </c>
      <c r="C6" s="3" t="s">
        <v>31</v>
      </c>
    </row>
    <row r="7" customFormat="false" ht="15" hidden="false" customHeight="false" outlineLevel="0" collapsed="false">
      <c r="A7" s="3" t="s">
        <v>32</v>
      </c>
      <c r="B7" s="12" t="s">
        <v>33</v>
      </c>
      <c r="C7" s="3" t="s">
        <v>34</v>
      </c>
    </row>
    <row r="9" customFormat="false" ht="15" hidden="false" customHeight="false" outlineLevel="0" collapsed="false">
      <c r="A9" s="9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38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10"/>
  </cols>
  <sheetData>
    <row r="1" customFormat="false" ht="31.5" hidden="false" customHeight="tru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</row>
    <row r="2" customFormat="false" ht="15" hidden="false" customHeight="false" outlineLevel="0" collapsed="false">
      <c r="A2" s="3" t="s">
        <v>52</v>
      </c>
      <c r="B2" s="13" t="n">
        <v>45662</v>
      </c>
      <c r="C2" s="3" t="s">
        <v>53</v>
      </c>
      <c r="D2" s="3" t="s">
        <v>54</v>
      </c>
      <c r="E2" s="3" t="s">
        <v>55</v>
      </c>
      <c r="F2" s="14" t="n">
        <v>109212</v>
      </c>
      <c r="G2" s="15" t="n">
        <v>1</v>
      </c>
      <c r="H2" s="3" t="s">
        <v>33</v>
      </c>
      <c r="I2" s="16" t="str">
        <f aca="false">TEXT(B2,"ddd")</f>
        <v>Sun</v>
      </c>
      <c r="J2" s="16" t="n">
        <f aca="false">IF(AND(F2&gt;=Assumptions!$B$4*(1-Assumptions!$B$5),F2&lt;Assumptions!$B$4),1,0)</f>
        <v>0</v>
      </c>
      <c r="K2" s="16" t="n">
        <f aca="false">IF(MOD(F2,Assumptions!$B$6)=0,1,0)</f>
        <v>0</v>
      </c>
      <c r="L2" s="16" t="n">
        <f aca="false">IF(WEEKDAY(B2,2)&gt;5,1,0)</f>
        <v>1</v>
      </c>
      <c r="M2" s="16" t="n">
        <f aca="false">IF(COUNTIF($D$2:$D$49,D2)&gt;1,1,0)</f>
        <v>0</v>
      </c>
      <c r="N2" s="16" t="n">
        <f aca="false">IF(COUNTIF($D$2:D2,D2)&gt;1,1,0)</f>
        <v>0</v>
      </c>
      <c r="O2" s="16" t="n">
        <f aca="false">IF(H2&lt;&gt;Assumptions!$B$7,1,0)</f>
        <v>0</v>
      </c>
      <c r="P2" s="16" t="n">
        <f aca="false">SUM(J2:M2)+O2</f>
        <v>1</v>
      </c>
    </row>
    <row r="3" customFormat="false" ht="15" hidden="false" customHeight="false" outlineLevel="0" collapsed="false">
      <c r="A3" s="3" t="s">
        <v>56</v>
      </c>
      <c r="B3" s="13" t="n">
        <v>45665</v>
      </c>
      <c r="C3" s="3" t="s">
        <v>57</v>
      </c>
      <c r="D3" s="3" t="s">
        <v>58</v>
      </c>
      <c r="E3" s="3" t="s">
        <v>59</v>
      </c>
      <c r="F3" s="14" t="n">
        <v>160884</v>
      </c>
      <c r="G3" s="15" t="n">
        <v>1</v>
      </c>
      <c r="H3" s="3" t="s">
        <v>33</v>
      </c>
      <c r="I3" s="16" t="str">
        <f aca="false">TEXT(B3,"ddd")</f>
        <v>Wed</v>
      </c>
      <c r="J3" s="16" t="n">
        <f aca="false">IF(AND(F3&gt;=Assumptions!$B$4*(1-Assumptions!$B$5),F3&lt;Assumptions!$B$4),1,0)</f>
        <v>0</v>
      </c>
      <c r="K3" s="16" t="n">
        <f aca="false">IF(MOD(F3,Assumptions!$B$6)=0,1,0)</f>
        <v>0</v>
      </c>
      <c r="L3" s="16" t="n">
        <f aca="false">IF(WEEKDAY(B3,2)&gt;5,1,0)</f>
        <v>0</v>
      </c>
      <c r="M3" s="16" t="n">
        <f aca="false">IF(COUNTIF($D$2:$D$49,D3)&gt;1,1,0)</f>
        <v>0</v>
      </c>
      <c r="N3" s="16" t="n">
        <f aca="false">IF(COUNTIF($D$2:D3,D3)&gt;1,1,0)</f>
        <v>0</v>
      </c>
      <c r="O3" s="16" t="n">
        <f aca="false">IF(H3&lt;&gt;Assumptions!$B$7,1,0)</f>
        <v>0</v>
      </c>
      <c r="P3" s="16" t="n">
        <f aca="false">SUM(J3:M3)+O3</f>
        <v>0</v>
      </c>
    </row>
    <row r="4" customFormat="false" ht="15" hidden="false" customHeight="false" outlineLevel="0" collapsed="false">
      <c r="A4" s="3" t="s">
        <v>60</v>
      </c>
      <c r="B4" s="13" t="n">
        <v>45675</v>
      </c>
      <c r="C4" s="3" t="s">
        <v>61</v>
      </c>
      <c r="D4" s="3" t="s">
        <v>62</v>
      </c>
      <c r="E4" s="3" t="s">
        <v>63</v>
      </c>
      <c r="F4" s="14" t="n">
        <v>498000</v>
      </c>
      <c r="G4" s="15" t="n">
        <v>1</v>
      </c>
      <c r="H4" s="3" t="s">
        <v>64</v>
      </c>
      <c r="I4" s="16" t="str">
        <f aca="false">TEXT(B4,"ddd")</f>
        <v>Sat</v>
      </c>
      <c r="J4" s="16" t="n">
        <f aca="false">IF(AND(F4&gt;=Assumptions!$B$4*(1-Assumptions!$B$5),F4&lt;Assumptions!$B$4),1,0)</f>
        <v>1</v>
      </c>
      <c r="K4" s="16" t="n">
        <f aca="false">IF(MOD(F4,Assumptions!$B$6)=0,1,0)</f>
        <v>0</v>
      </c>
      <c r="L4" s="16" t="n">
        <f aca="false">IF(WEEKDAY(B4,2)&gt;5,1,0)</f>
        <v>1</v>
      </c>
      <c r="M4" s="16" t="n">
        <f aca="false">IF(COUNTIF($D$2:$D$49,D4)&gt;1,1,0)</f>
        <v>0</v>
      </c>
      <c r="N4" s="16" t="n">
        <f aca="false">IF(COUNTIF($D$2:D4,D4)&gt;1,1,0)</f>
        <v>0</v>
      </c>
      <c r="O4" s="16" t="n">
        <f aca="false">IF(H4&lt;&gt;Assumptions!$B$7,1,0)</f>
        <v>1</v>
      </c>
      <c r="P4" s="16" t="n">
        <f aca="false">SUM(J4:M4)+O4</f>
        <v>3</v>
      </c>
    </row>
    <row r="5" customFormat="false" ht="15" hidden="false" customHeight="false" outlineLevel="0" collapsed="false">
      <c r="A5" s="3" t="s">
        <v>65</v>
      </c>
      <c r="B5" s="13" t="n">
        <v>45679</v>
      </c>
      <c r="C5" s="3" t="s">
        <v>66</v>
      </c>
      <c r="D5" s="3" t="s">
        <v>67</v>
      </c>
      <c r="E5" s="3" t="s">
        <v>68</v>
      </c>
      <c r="F5" s="14" t="n">
        <v>188547</v>
      </c>
      <c r="G5" s="15" t="n">
        <v>1</v>
      </c>
      <c r="H5" s="3" t="s">
        <v>33</v>
      </c>
      <c r="I5" s="16" t="str">
        <f aca="false">TEXT(B5,"ddd")</f>
        <v>Wed</v>
      </c>
      <c r="J5" s="16" t="n">
        <f aca="false">IF(AND(F5&gt;=Assumptions!$B$4*(1-Assumptions!$B$5),F5&lt;Assumptions!$B$4),1,0)</f>
        <v>0</v>
      </c>
      <c r="K5" s="16" t="n">
        <f aca="false">IF(MOD(F5,Assumptions!$B$6)=0,1,0)</f>
        <v>0</v>
      </c>
      <c r="L5" s="16" t="n">
        <f aca="false">IF(WEEKDAY(B5,2)&gt;5,1,0)</f>
        <v>0</v>
      </c>
      <c r="M5" s="16" t="n">
        <f aca="false">IF(COUNTIF($D$2:$D$49,D5)&gt;1,1,0)</f>
        <v>0</v>
      </c>
      <c r="N5" s="16" t="n">
        <f aca="false">IF(COUNTIF($D$2:D5,D5)&gt;1,1,0)</f>
        <v>0</v>
      </c>
      <c r="O5" s="16" t="n">
        <f aca="false">IF(H5&lt;&gt;Assumptions!$B$7,1,0)</f>
        <v>0</v>
      </c>
      <c r="P5" s="16" t="n">
        <f aca="false">SUM(J5:M5)+O5</f>
        <v>0</v>
      </c>
    </row>
    <row r="6" customFormat="false" ht="15" hidden="false" customHeight="false" outlineLevel="0" collapsed="false">
      <c r="A6" s="3" t="s">
        <v>69</v>
      </c>
      <c r="B6" s="13" t="n">
        <v>45679</v>
      </c>
      <c r="C6" s="3" t="s">
        <v>70</v>
      </c>
      <c r="D6" s="3" t="s">
        <v>71</v>
      </c>
      <c r="E6" s="3" t="s">
        <v>72</v>
      </c>
      <c r="F6" s="14" t="n">
        <v>66905</v>
      </c>
      <c r="G6" s="15" t="n">
        <v>1</v>
      </c>
      <c r="H6" s="3" t="s">
        <v>33</v>
      </c>
      <c r="I6" s="16" t="str">
        <f aca="false">TEXT(B6,"ddd")</f>
        <v>Wed</v>
      </c>
      <c r="J6" s="16" t="n">
        <f aca="false">IF(AND(F6&gt;=Assumptions!$B$4*(1-Assumptions!$B$5),F6&lt;Assumptions!$B$4),1,0)</f>
        <v>0</v>
      </c>
      <c r="K6" s="16" t="n">
        <f aca="false">IF(MOD(F6,Assumptions!$B$6)=0,1,0)</f>
        <v>0</v>
      </c>
      <c r="L6" s="16" t="n">
        <f aca="false">IF(WEEKDAY(B6,2)&gt;5,1,0)</f>
        <v>0</v>
      </c>
      <c r="M6" s="16" t="n">
        <f aca="false">IF(COUNTIF($D$2:$D$49,D6)&gt;1,1,0)</f>
        <v>0</v>
      </c>
      <c r="N6" s="16" t="n">
        <f aca="false">IF(COUNTIF($D$2:D6,D6)&gt;1,1,0)</f>
        <v>0</v>
      </c>
      <c r="O6" s="16" t="n">
        <f aca="false">IF(H6&lt;&gt;Assumptions!$B$7,1,0)</f>
        <v>0</v>
      </c>
      <c r="P6" s="16" t="n">
        <f aca="false">SUM(J6:M6)+O6</f>
        <v>0</v>
      </c>
    </row>
    <row r="7" customFormat="false" ht="15" hidden="false" customHeight="false" outlineLevel="0" collapsed="false">
      <c r="A7" s="3" t="s">
        <v>73</v>
      </c>
      <c r="B7" s="13" t="n">
        <v>45698</v>
      </c>
      <c r="C7" s="3" t="s">
        <v>74</v>
      </c>
      <c r="D7" s="3" t="s">
        <v>75</v>
      </c>
      <c r="E7" s="3" t="s">
        <v>76</v>
      </c>
      <c r="F7" s="14" t="n">
        <v>250000</v>
      </c>
      <c r="G7" s="15" t="n">
        <v>1</v>
      </c>
      <c r="H7" s="3" t="s">
        <v>33</v>
      </c>
      <c r="I7" s="16" t="str">
        <f aca="false">TEXT(B7,"ddd")</f>
        <v>Mon</v>
      </c>
      <c r="J7" s="16" t="n">
        <f aca="false">IF(AND(F7&gt;=Assumptions!$B$4*(1-Assumptions!$B$5),F7&lt;Assumptions!$B$4),1,0)</f>
        <v>0</v>
      </c>
      <c r="K7" s="16" t="n">
        <f aca="false">IF(MOD(F7,Assumptions!$B$6)=0,1,0)</f>
        <v>1</v>
      </c>
      <c r="L7" s="16" t="n">
        <f aca="false">IF(WEEKDAY(B7,2)&gt;5,1,0)</f>
        <v>0</v>
      </c>
      <c r="M7" s="16" t="n">
        <f aca="false">IF(COUNTIF($D$2:$D$49,D7)&gt;1,1,0)</f>
        <v>0</v>
      </c>
      <c r="N7" s="16" t="n">
        <f aca="false">IF(COUNTIF($D$2:D7,D7)&gt;1,1,0)</f>
        <v>0</v>
      </c>
      <c r="O7" s="16" t="n">
        <f aca="false">IF(H7&lt;&gt;Assumptions!$B$7,1,0)</f>
        <v>0</v>
      </c>
      <c r="P7" s="16" t="n">
        <f aca="false">SUM(J7:M7)+O7</f>
        <v>1</v>
      </c>
    </row>
    <row r="8" customFormat="false" ht="15" hidden="false" customHeight="false" outlineLevel="0" collapsed="false">
      <c r="A8" s="3" t="s">
        <v>77</v>
      </c>
      <c r="B8" s="13" t="n">
        <v>45710</v>
      </c>
      <c r="C8" s="3" t="s">
        <v>61</v>
      </c>
      <c r="D8" s="3" t="s">
        <v>78</v>
      </c>
      <c r="E8" s="3" t="s">
        <v>63</v>
      </c>
      <c r="F8" s="14" t="n">
        <v>497500</v>
      </c>
      <c r="G8" s="15" t="n">
        <v>1</v>
      </c>
      <c r="H8" s="3" t="s">
        <v>64</v>
      </c>
      <c r="I8" s="16" t="str">
        <f aca="false">TEXT(B8,"ddd")</f>
        <v>Sat</v>
      </c>
      <c r="J8" s="16" t="n">
        <f aca="false">IF(AND(F8&gt;=Assumptions!$B$4*(1-Assumptions!$B$5),F8&lt;Assumptions!$B$4),1,0)</f>
        <v>1</v>
      </c>
      <c r="K8" s="16" t="n">
        <f aca="false">IF(MOD(F8,Assumptions!$B$6)=0,1,0)</f>
        <v>0</v>
      </c>
      <c r="L8" s="16" t="n">
        <f aca="false">IF(WEEKDAY(B8,2)&gt;5,1,0)</f>
        <v>1</v>
      </c>
      <c r="M8" s="16" t="n">
        <f aca="false">IF(COUNTIF($D$2:$D$49,D8)&gt;1,1,0)</f>
        <v>0</v>
      </c>
      <c r="N8" s="16" t="n">
        <f aca="false">IF(COUNTIF($D$2:D8,D8)&gt;1,1,0)</f>
        <v>0</v>
      </c>
      <c r="O8" s="16" t="n">
        <f aca="false">IF(H8&lt;&gt;Assumptions!$B$7,1,0)</f>
        <v>1</v>
      </c>
      <c r="P8" s="16" t="n">
        <f aca="false">SUM(J8:M8)+O8</f>
        <v>3</v>
      </c>
    </row>
    <row r="9" customFormat="false" ht="15" hidden="false" customHeight="false" outlineLevel="0" collapsed="false">
      <c r="A9" s="3" t="s">
        <v>79</v>
      </c>
      <c r="B9" s="13" t="n">
        <v>45712</v>
      </c>
      <c r="C9" s="3" t="s">
        <v>57</v>
      </c>
      <c r="D9" s="3" t="s">
        <v>80</v>
      </c>
      <c r="E9" s="3" t="s">
        <v>59</v>
      </c>
      <c r="F9" s="14" t="n">
        <v>105329</v>
      </c>
      <c r="G9" s="15" t="n">
        <v>1</v>
      </c>
      <c r="H9" s="3" t="s">
        <v>33</v>
      </c>
      <c r="I9" s="16" t="str">
        <f aca="false">TEXT(B9,"ddd")</f>
        <v>Mon</v>
      </c>
      <c r="J9" s="16" t="n">
        <f aca="false">IF(AND(F9&gt;=Assumptions!$B$4*(1-Assumptions!$B$5),F9&lt;Assumptions!$B$4),1,0)</f>
        <v>0</v>
      </c>
      <c r="K9" s="16" t="n">
        <f aca="false">IF(MOD(F9,Assumptions!$B$6)=0,1,0)</f>
        <v>0</v>
      </c>
      <c r="L9" s="16" t="n">
        <f aca="false">IF(WEEKDAY(B9,2)&gt;5,1,0)</f>
        <v>0</v>
      </c>
      <c r="M9" s="16" t="n">
        <f aca="false">IF(COUNTIF($D$2:$D$49,D9)&gt;1,1,0)</f>
        <v>0</v>
      </c>
      <c r="N9" s="16" t="n">
        <f aca="false">IF(COUNTIF($D$2:D9,D9)&gt;1,1,0)</f>
        <v>0</v>
      </c>
      <c r="O9" s="16" t="n">
        <f aca="false">IF(H9&lt;&gt;Assumptions!$B$7,1,0)</f>
        <v>0</v>
      </c>
      <c r="P9" s="16" t="n">
        <f aca="false">SUM(J9:M9)+O9</f>
        <v>0</v>
      </c>
    </row>
    <row r="10" customFormat="false" ht="15" hidden="false" customHeight="false" outlineLevel="0" collapsed="false">
      <c r="A10" s="3" t="s">
        <v>81</v>
      </c>
      <c r="B10" s="13" t="n">
        <v>45726</v>
      </c>
      <c r="C10" s="3" t="s">
        <v>57</v>
      </c>
      <c r="D10" s="3" t="s">
        <v>82</v>
      </c>
      <c r="E10" s="3" t="s">
        <v>59</v>
      </c>
      <c r="F10" s="14" t="n">
        <v>89572</v>
      </c>
      <c r="G10" s="15" t="n">
        <v>1</v>
      </c>
      <c r="H10" s="3" t="s">
        <v>33</v>
      </c>
      <c r="I10" s="16" t="str">
        <f aca="false">TEXT(B10,"ddd")</f>
        <v>Mon</v>
      </c>
      <c r="J10" s="16" t="n">
        <f aca="false">IF(AND(F10&gt;=Assumptions!$B$4*(1-Assumptions!$B$5),F10&lt;Assumptions!$B$4),1,0)</f>
        <v>0</v>
      </c>
      <c r="K10" s="16" t="n">
        <f aca="false">IF(MOD(F10,Assumptions!$B$6)=0,1,0)</f>
        <v>0</v>
      </c>
      <c r="L10" s="16" t="n">
        <f aca="false">IF(WEEKDAY(B10,2)&gt;5,1,0)</f>
        <v>0</v>
      </c>
      <c r="M10" s="16" t="n">
        <f aca="false">IF(COUNTIF($D$2:$D$49,D10)&gt;1,1,0)</f>
        <v>0</v>
      </c>
      <c r="N10" s="16" t="n">
        <f aca="false">IF(COUNTIF($D$2:D10,D10)&gt;1,1,0)</f>
        <v>0</v>
      </c>
      <c r="O10" s="16" t="n">
        <f aca="false">IF(H10&lt;&gt;Assumptions!$B$7,1,0)</f>
        <v>0</v>
      </c>
      <c r="P10" s="16" t="n">
        <f aca="false">SUM(J10:M10)+O10</f>
        <v>0</v>
      </c>
    </row>
    <row r="11" customFormat="false" ht="15" hidden="false" customHeight="false" outlineLevel="0" collapsed="false">
      <c r="A11" s="3" t="s">
        <v>83</v>
      </c>
      <c r="B11" s="13" t="n">
        <v>45731</v>
      </c>
      <c r="C11" s="3" t="s">
        <v>61</v>
      </c>
      <c r="D11" s="3" t="s">
        <v>84</v>
      </c>
      <c r="E11" s="3" t="s">
        <v>63</v>
      </c>
      <c r="F11" s="14" t="n">
        <v>499000</v>
      </c>
      <c r="G11" s="15" t="n">
        <v>1</v>
      </c>
      <c r="H11" s="3" t="s">
        <v>64</v>
      </c>
      <c r="I11" s="16" t="str">
        <f aca="false">TEXT(B11,"ddd")</f>
        <v>Sat</v>
      </c>
      <c r="J11" s="16" t="n">
        <f aca="false">IF(AND(F11&gt;=Assumptions!$B$4*(1-Assumptions!$B$5),F11&lt;Assumptions!$B$4),1,0)</f>
        <v>1</v>
      </c>
      <c r="K11" s="16" t="n">
        <f aca="false">IF(MOD(F11,Assumptions!$B$6)=0,1,0)</f>
        <v>0</v>
      </c>
      <c r="L11" s="16" t="n">
        <f aca="false">IF(WEEKDAY(B11,2)&gt;5,1,0)</f>
        <v>1</v>
      </c>
      <c r="M11" s="16" t="n">
        <f aca="false">IF(COUNTIF($D$2:$D$49,D11)&gt;1,1,0)</f>
        <v>0</v>
      </c>
      <c r="N11" s="16" t="n">
        <f aca="false">IF(COUNTIF($D$2:D11,D11)&gt;1,1,0)</f>
        <v>0</v>
      </c>
      <c r="O11" s="16" t="n">
        <f aca="false">IF(H11&lt;&gt;Assumptions!$B$7,1,0)</f>
        <v>1</v>
      </c>
      <c r="P11" s="16" t="n">
        <f aca="false">SUM(J11:M11)+O11</f>
        <v>3</v>
      </c>
    </row>
    <row r="12" customFormat="false" ht="15" hidden="false" customHeight="false" outlineLevel="0" collapsed="false">
      <c r="A12" s="3" t="s">
        <v>85</v>
      </c>
      <c r="B12" s="13" t="n">
        <v>45733</v>
      </c>
      <c r="C12" s="3" t="s">
        <v>66</v>
      </c>
      <c r="D12" s="3" t="s">
        <v>86</v>
      </c>
      <c r="E12" s="3" t="s">
        <v>68</v>
      </c>
      <c r="F12" s="14" t="n">
        <v>209070</v>
      </c>
      <c r="G12" s="15" t="n">
        <v>1</v>
      </c>
      <c r="H12" s="3" t="s">
        <v>33</v>
      </c>
      <c r="I12" s="16" t="str">
        <f aca="false">TEXT(B12,"ddd")</f>
        <v>Mon</v>
      </c>
      <c r="J12" s="16" t="n">
        <f aca="false">IF(AND(F12&gt;=Assumptions!$B$4*(1-Assumptions!$B$5),F12&lt;Assumptions!$B$4),1,0)</f>
        <v>0</v>
      </c>
      <c r="K12" s="16" t="n">
        <f aca="false">IF(MOD(F12,Assumptions!$B$6)=0,1,0)</f>
        <v>0</v>
      </c>
      <c r="L12" s="16" t="n">
        <f aca="false">IF(WEEKDAY(B12,2)&gt;5,1,0)</f>
        <v>0</v>
      </c>
      <c r="M12" s="16" t="n">
        <f aca="false">IF(COUNTIF($D$2:$D$49,D12)&gt;1,1,0)</f>
        <v>0</v>
      </c>
      <c r="N12" s="16" t="n">
        <f aca="false">IF(COUNTIF($D$2:D12,D12)&gt;1,1,0)</f>
        <v>0</v>
      </c>
      <c r="O12" s="16" t="n">
        <f aca="false">IF(H12&lt;&gt;Assumptions!$B$7,1,0)</f>
        <v>0</v>
      </c>
      <c r="P12" s="16" t="n">
        <f aca="false">SUM(J12:M12)+O12</f>
        <v>0</v>
      </c>
    </row>
    <row r="13" customFormat="false" ht="15" hidden="false" customHeight="false" outlineLevel="0" collapsed="false">
      <c r="A13" s="3" t="s">
        <v>87</v>
      </c>
      <c r="B13" s="13" t="n">
        <v>45752</v>
      </c>
      <c r="C13" s="3" t="s">
        <v>70</v>
      </c>
      <c r="D13" s="3" t="s">
        <v>88</v>
      </c>
      <c r="E13" s="3" t="s">
        <v>72</v>
      </c>
      <c r="F13" s="14" t="n">
        <v>102708</v>
      </c>
      <c r="G13" s="15" t="n">
        <v>1</v>
      </c>
      <c r="H13" s="3" t="s">
        <v>33</v>
      </c>
      <c r="I13" s="16" t="str">
        <f aca="false">TEXT(B13,"ddd")</f>
        <v>Sat</v>
      </c>
      <c r="J13" s="16" t="n">
        <f aca="false">IF(AND(F13&gt;=Assumptions!$B$4*(1-Assumptions!$B$5),F13&lt;Assumptions!$B$4),1,0)</f>
        <v>0</v>
      </c>
      <c r="K13" s="16" t="n">
        <f aca="false">IF(MOD(F13,Assumptions!$B$6)=0,1,0)</f>
        <v>0</v>
      </c>
      <c r="L13" s="16" t="n">
        <f aca="false">IF(WEEKDAY(B13,2)&gt;5,1,0)</f>
        <v>1</v>
      </c>
      <c r="M13" s="16" t="n">
        <f aca="false">IF(COUNTIF($D$2:$D$49,D13)&gt;1,1,0)</f>
        <v>0</v>
      </c>
      <c r="N13" s="16" t="n">
        <f aca="false">IF(COUNTIF($D$2:D13,D13)&gt;1,1,0)</f>
        <v>0</v>
      </c>
      <c r="O13" s="16" t="n">
        <f aca="false">IF(H13&lt;&gt;Assumptions!$B$7,1,0)</f>
        <v>0</v>
      </c>
      <c r="P13" s="16" t="n">
        <f aca="false">SUM(J13:M13)+O13</f>
        <v>1</v>
      </c>
    </row>
    <row r="14" customFormat="false" ht="15" hidden="false" customHeight="false" outlineLevel="0" collapsed="false">
      <c r="A14" s="3" t="s">
        <v>89</v>
      </c>
      <c r="B14" s="13" t="n">
        <v>45755</v>
      </c>
      <c r="C14" s="3" t="s">
        <v>74</v>
      </c>
      <c r="D14" s="3" t="s">
        <v>90</v>
      </c>
      <c r="E14" s="3" t="s">
        <v>76</v>
      </c>
      <c r="F14" s="14" t="n">
        <v>300000</v>
      </c>
      <c r="G14" s="15" t="n">
        <v>1</v>
      </c>
      <c r="H14" s="3" t="s">
        <v>33</v>
      </c>
      <c r="I14" s="16" t="str">
        <f aca="false">TEXT(B14,"ddd")</f>
        <v>Tue</v>
      </c>
      <c r="J14" s="16" t="n">
        <f aca="false">IF(AND(F14&gt;=Assumptions!$B$4*(1-Assumptions!$B$5),F14&lt;Assumptions!$B$4),1,0)</f>
        <v>0</v>
      </c>
      <c r="K14" s="16" t="n">
        <f aca="false">IF(MOD(F14,Assumptions!$B$6)=0,1,0)</f>
        <v>1</v>
      </c>
      <c r="L14" s="16" t="n">
        <f aca="false">IF(WEEKDAY(B14,2)&gt;5,1,0)</f>
        <v>0</v>
      </c>
      <c r="M14" s="16" t="n">
        <f aca="false">IF(COUNTIF($D$2:$D$49,D14)&gt;1,1,0)</f>
        <v>0</v>
      </c>
      <c r="N14" s="16" t="n">
        <f aca="false">IF(COUNTIF($D$2:D14,D14)&gt;1,1,0)</f>
        <v>0</v>
      </c>
      <c r="O14" s="16" t="n">
        <f aca="false">IF(H14&lt;&gt;Assumptions!$B$7,1,0)</f>
        <v>0</v>
      </c>
      <c r="P14" s="16" t="n">
        <f aca="false">SUM(J14:M14)+O14</f>
        <v>1</v>
      </c>
    </row>
    <row r="15" customFormat="false" ht="15" hidden="false" customHeight="false" outlineLevel="0" collapsed="false">
      <c r="A15" s="3" t="s">
        <v>91</v>
      </c>
      <c r="B15" s="13" t="n">
        <v>45766</v>
      </c>
      <c r="C15" s="3" t="s">
        <v>61</v>
      </c>
      <c r="D15" s="3" t="s">
        <v>92</v>
      </c>
      <c r="E15" s="3" t="s">
        <v>63</v>
      </c>
      <c r="F15" s="14" t="n">
        <v>498500</v>
      </c>
      <c r="G15" s="15" t="n">
        <v>1</v>
      </c>
      <c r="H15" s="3" t="s">
        <v>64</v>
      </c>
      <c r="I15" s="16" t="str">
        <f aca="false">TEXT(B15,"ddd")</f>
        <v>Sat</v>
      </c>
      <c r="J15" s="16" t="n">
        <f aca="false">IF(AND(F15&gt;=Assumptions!$B$4*(1-Assumptions!$B$5),F15&lt;Assumptions!$B$4),1,0)</f>
        <v>1</v>
      </c>
      <c r="K15" s="16" t="n">
        <f aca="false">IF(MOD(F15,Assumptions!$B$6)=0,1,0)</f>
        <v>0</v>
      </c>
      <c r="L15" s="16" t="n">
        <f aca="false">IF(WEEKDAY(B15,2)&gt;5,1,0)</f>
        <v>1</v>
      </c>
      <c r="M15" s="16" t="n">
        <f aca="false">IF(COUNTIF($D$2:$D$49,D15)&gt;1,1,0)</f>
        <v>0</v>
      </c>
      <c r="N15" s="16" t="n">
        <f aca="false">IF(COUNTIF($D$2:D15,D15)&gt;1,1,0)</f>
        <v>0</v>
      </c>
      <c r="O15" s="16" t="n">
        <f aca="false">IF(H15&lt;&gt;Assumptions!$B$7,1,0)</f>
        <v>1</v>
      </c>
      <c r="P15" s="16" t="n">
        <f aca="false">SUM(J15:M15)+O15</f>
        <v>3</v>
      </c>
    </row>
    <row r="16" customFormat="false" ht="15" hidden="false" customHeight="false" outlineLevel="0" collapsed="false">
      <c r="A16" s="3" t="s">
        <v>93</v>
      </c>
      <c r="B16" s="13" t="n">
        <v>45771</v>
      </c>
      <c r="C16" s="3" t="s">
        <v>66</v>
      </c>
      <c r="D16" s="3" t="s">
        <v>94</v>
      </c>
      <c r="E16" s="3" t="s">
        <v>68</v>
      </c>
      <c r="F16" s="14" t="n">
        <v>411625</v>
      </c>
      <c r="G16" s="15" t="n">
        <v>1</v>
      </c>
      <c r="H16" s="3" t="s">
        <v>33</v>
      </c>
      <c r="I16" s="16" t="str">
        <f aca="false">TEXT(B16,"ddd")</f>
        <v>Thu</v>
      </c>
      <c r="J16" s="16" t="n">
        <f aca="false">IF(AND(F16&gt;=Assumptions!$B$4*(1-Assumptions!$B$5),F16&lt;Assumptions!$B$4),1,0)</f>
        <v>0</v>
      </c>
      <c r="K16" s="16" t="n">
        <f aca="false">IF(MOD(F16,Assumptions!$B$6)=0,1,0)</f>
        <v>0</v>
      </c>
      <c r="L16" s="16" t="n">
        <f aca="false">IF(WEEKDAY(B16,2)&gt;5,1,0)</f>
        <v>0</v>
      </c>
      <c r="M16" s="16" t="n">
        <f aca="false">IF(COUNTIF($D$2:$D$49,D16)&gt;1,1,0)</f>
        <v>0</v>
      </c>
      <c r="N16" s="16" t="n">
        <f aca="false">IF(COUNTIF($D$2:D16,D16)&gt;1,1,0)</f>
        <v>0</v>
      </c>
      <c r="O16" s="16" t="n">
        <f aca="false">IF(H16&lt;&gt;Assumptions!$B$7,1,0)</f>
        <v>0</v>
      </c>
      <c r="P16" s="16" t="n">
        <f aca="false">SUM(J16:M16)+O16</f>
        <v>0</v>
      </c>
    </row>
    <row r="17" customFormat="false" ht="15" hidden="false" customHeight="false" outlineLevel="0" collapsed="false">
      <c r="A17" s="3" t="s">
        <v>95</v>
      </c>
      <c r="B17" s="13" t="n">
        <v>45773</v>
      </c>
      <c r="C17" s="3" t="s">
        <v>53</v>
      </c>
      <c r="D17" s="3" t="s">
        <v>96</v>
      </c>
      <c r="E17" s="3" t="s">
        <v>55</v>
      </c>
      <c r="F17" s="14" t="n">
        <v>168855</v>
      </c>
      <c r="G17" s="15" t="n">
        <v>1</v>
      </c>
      <c r="H17" s="3" t="s">
        <v>33</v>
      </c>
      <c r="I17" s="16" t="str">
        <f aca="false">TEXT(B17,"ddd")</f>
        <v>Sat</v>
      </c>
      <c r="J17" s="16" t="n">
        <f aca="false">IF(AND(F17&gt;=Assumptions!$B$4*(1-Assumptions!$B$5),F17&lt;Assumptions!$B$4),1,0)</f>
        <v>0</v>
      </c>
      <c r="K17" s="16" t="n">
        <f aca="false">IF(MOD(F17,Assumptions!$B$6)=0,1,0)</f>
        <v>0</v>
      </c>
      <c r="L17" s="16" t="n">
        <f aca="false">IF(WEEKDAY(B17,2)&gt;5,1,0)</f>
        <v>1</v>
      </c>
      <c r="M17" s="16" t="n">
        <f aca="false">IF(COUNTIF($D$2:$D$49,D17)&gt;1,1,0)</f>
        <v>0</v>
      </c>
      <c r="N17" s="16" t="n">
        <f aca="false">IF(COUNTIF($D$2:D17,D17)&gt;1,1,0)</f>
        <v>0</v>
      </c>
      <c r="O17" s="16" t="n">
        <f aca="false">IF(H17&lt;&gt;Assumptions!$B$7,1,0)</f>
        <v>0</v>
      </c>
      <c r="P17" s="16" t="n">
        <f aca="false">SUM(J17:M17)+O17</f>
        <v>1</v>
      </c>
    </row>
    <row r="18" customFormat="false" ht="15" hidden="false" customHeight="false" outlineLevel="0" collapsed="false">
      <c r="A18" s="3" t="s">
        <v>97</v>
      </c>
      <c r="B18" s="13" t="n">
        <v>45782</v>
      </c>
      <c r="C18" s="3" t="s">
        <v>53</v>
      </c>
      <c r="D18" s="3" t="s">
        <v>98</v>
      </c>
      <c r="E18" s="3" t="s">
        <v>55</v>
      </c>
      <c r="F18" s="14" t="n">
        <v>84166</v>
      </c>
      <c r="G18" s="15" t="n">
        <v>1</v>
      </c>
      <c r="H18" s="3" t="s">
        <v>33</v>
      </c>
      <c r="I18" s="16" t="str">
        <f aca="false">TEXT(B18,"ddd")</f>
        <v>Mon</v>
      </c>
      <c r="J18" s="16" t="n">
        <f aca="false">IF(AND(F18&gt;=Assumptions!$B$4*(1-Assumptions!$B$5),F18&lt;Assumptions!$B$4),1,0)</f>
        <v>0</v>
      </c>
      <c r="K18" s="16" t="n">
        <f aca="false">IF(MOD(F18,Assumptions!$B$6)=0,1,0)</f>
        <v>0</v>
      </c>
      <c r="L18" s="16" t="n">
        <f aca="false">IF(WEEKDAY(B18,2)&gt;5,1,0)</f>
        <v>0</v>
      </c>
      <c r="M18" s="16" t="n">
        <f aca="false">IF(COUNTIF($D$2:$D$49,D18)&gt;1,1,0)</f>
        <v>0</v>
      </c>
      <c r="N18" s="16" t="n">
        <f aca="false">IF(COUNTIF($D$2:D18,D18)&gt;1,1,0)</f>
        <v>0</v>
      </c>
      <c r="O18" s="16" t="n">
        <f aca="false">IF(H18&lt;&gt;Assumptions!$B$7,1,0)</f>
        <v>0</v>
      </c>
      <c r="P18" s="16" t="n">
        <f aca="false">SUM(J18:M18)+O18</f>
        <v>0</v>
      </c>
    </row>
    <row r="19" customFormat="false" ht="15" hidden="false" customHeight="false" outlineLevel="0" collapsed="false">
      <c r="A19" s="3" t="s">
        <v>99</v>
      </c>
      <c r="B19" s="13" t="n">
        <v>45782</v>
      </c>
      <c r="C19" s="3" t="s">
        <v>66</v>
      </c>
      <c r="D19" s="3" t="s">
        <v>100</v>
      </c>
      <c r="E19" s="3" t="s">
        <v>68</v>
      </c>
      <c r="F19" s="14" t="n">
        <v>312450</v>
      </c>
      <c r="G19" s="15" t="n">
        <v>1</v>
      </c>
      <c r="H19" s="3" t="s">
        <v>33</v>
      </c>
      <c r="I19" s="16" t="str">
        <f aca="false">TEXT(B19,"ddd")</f>
        <v>Mon</v>
      </c>
      <c r="J19" s="16" t="n">
        <f aca="false">IF(AND(F19&gt;=Assumptions!$B$4*(1-Assumptions!$B$5),F19&lt;Assumptions!$B$4),1,0)</f>
        <v>0</v>
      </c>
      <c r="K19" s="16" t="n">
        <f aca="false">IF(MOD(F19,Assumptions!$B$6)=0,1,0)</f>
        <v>0</v>
      </c>
      <c r="L19" s="16" t="n">
        <f aca="false">IF(WEEKDAY(B19,2)&gt;5,1,0)</f>
        <v>0</v>
      </c>
      <c r="M19" s="16" t="n">
        <f aca="false">IF(COUNTIF($D$2:$D$49,D19)&gt;1,1,0)</f>
        <v>1</v>
      </c>
      <c r="N19" s="16" t="n">
        <f aca="false">IF(COUNTIF($D$2:D19,D19)&gt;1,1,0)</f>
        <v>0</v>
      </c>
      <c r="O19" s="16" t="n">
        <f aca="false">IF(H19&lt;&gt;Assumptions!$B$7,1,0)</f>
        <v>0</v>
      </c>
      <c r="P19" s="16" t="n">
        <f aca="false">SUM(J19:M19)+O19</f>
        <v>1</v>
      </c>
    </row>
    <row r="20" customFormat="false" ht="15" hidden="false" customHeight="false" outlineLevel="0" collapsed="false">
      <c r="A20" s="3" t="s">
        <v>101</v>
      </c>
      <c r="B20" s="13" t="n">
        <v>45785</v>
      </c>
      <c r="C20" s="3" t="s">
        <v>66</v>
      </c>
      <c r="D20" s="3" t="s">
        <v>102</v>
      </c>
      <c r="E20" s="3" t="s">
        <v>68</v>
      </c>
      <c r="F20" s="14" t="n">
        <v>249911</v>
      </c>
      <c r="G20" s="15" t="n">
        <v>1</v>
      </c>
      <c r="H20" s="3" t="s">
        <v>33</v>
      </c>
      <c r="I20" s="16" t="str">
        <f aca="false">TEXT(B20,"ddd")</f>
        <v>Thu</v>
      </c>
      <c r="J20" s="16" t="n">
        <f aca="false">IF(AND(F20&gt;=Assumptions!$B$4*(1-Assumptions!$B$5),F20&lt;Assumptions!$B$4),1,0)</f>
        <v>0</v>
      </c>
      <c r="K20" s="16" t="n">
        <f aca="false">IF(MOD(F20,Assumptions!$B$6)=0,1,0)</f>
        <v>0</v>
      </c>
      <c r="L20" s="16" t="n">
        <f aca="false">IF(WEEKDAY(B20,2)&gt;5,1,0)</f>
        <v>0</v>
      </c>
      <c r="M20" s="16" t="n">
        <f aca="false">IF(COUNTIF($D$2:$D$49,D20)&gt;1,1,0)</f>
        <v>0</v>
      </c>
      <c r="N20" s="16" t="n">
        <f aca="false">IF(COUNTIF($D$2:D20,D20)&gt;1,1,0)</f>
        <v>0</v>
      </c>
      <c r="O20" s="16" t="n">
        <f aca="false">IF(H20&lt;&gt;Assumptions!$B$7,1,0)</f>
        <v>0</v>
      </c>
      <c r="P20" s="16" t="n">
        <f aca="false">SUM(J20:M20)+O20</f>
        <v>0</v>
      </c>
    </row>
    <row r="21" customFormat="false" ht="15" hidden="false" customHeight="false" outlineLevel="0" collapsed="false">
      <c r="A21" s="3" t="s">
        <v>103</v>
      </c>
      <c r="B21" s="13" t="n">
        <v>45796</v>
      </c>
      <c r="C21" s="3" t="s">
        <v>70</v>
      </c>
      <c r="D21" s="3" t="s">
        <v>104</v>
      </c>
      <c r="E21" s="3" t="s">
        <v>72</v>
      </c>
      <c r="F21" s="14" t="n">
        <v>80194</v>
      </c>
      <c r="G21" s="15" t="n">
        <v>1</v>
      </c>
      <c r="H21" s="3" t="s">
        <v>33</v>
      </c>
      <c r="I21" s="16" t="str">
        <f aca="false">TEXT(B21,"ddd")</f>
        <v>Mon</v>
      </c>
      <c r="J21" s="16" t="n">
        <f aca="false">IF(AND(F21&gt;=Assumptions!$B$4*(1-Assumptions!$B$5),F21&lt;Assumptions!$B$4),1,0)</f>
        <v>0</v>
      </c>
      <c r="K21" s="16" t="n">
        <f aca="false">IF(MOD(F21,Assumptions!$B$6)=0,1,0)</f>
        <v>0</v>
      </c>
      <c r="L21" s="16" t="n">
        <f aca="false">IF(WEEKDAY(B21,2)&gt;5,1,0)</f>
        <v>0</v>
      </c>
      <c r="M21" s="16" t="n">
        <f aca="false">IF(COUNTIF($D$2:$D$49,D21)&gt;1,1,0)</f>
        <v>0</v>
      </c>
      <c r="N21" s="16" t="n">
        <f aca="false">IF(COUNTIF($D$2:D21,D21)&gt;1,1,0)</f>
        <v>0</v>
      </c>
      <c r="O21" s="16" t="n">
        <f aca="false">IF(H21&lt;&gt;Assumptions!$B$7,1,0)</f>
        <v>0</v>
      </c>
      <c r="P21" s="16" t="n">
        <f aca="false">SUM(J21:M21)+O21</f>
        <v>0</v>
      </c>
    </row>
    <row r="22" customFormat="false" ht="15" hidden="false" customHeight="false" outlineLevel="0" collapsed="false">
      <c r="A22" s="3" t="s">
        <v>105</v>
      </c>
      <c r="B22" s="13" t="n">
        <v>45801</v>
      </c>
      <c r="C22" s="3" t="s">
        <v>57</v>
      </c>
      <c r="D22" s="3" t="s">
        <v>106</v>
      </c>
      <c r="E22" s="3" t="s">
        <v>59</v>
      </c>
      <c r="F22" s="14" t="n">
        <v>172847</v>
      </c>
      <c r="G22" s="15" t="n">
        <v>1</v>
      </c>
      <c r="H22" s="3" t="s">
        <v>33</v>
      </c>
      <c r="I22" s="16" t="str">
        <f aca="false">TEXT(B22,"ddd")</f>
        <v>Sat</v>
      </c>
      <c r="J22" s="16" t="n">
        <f aca="false">IF(AND(F22&gt;=Assumptions!$B$4*(1-Assumptions!$B$5),F22&lt;Assumptions!$B$4),1,0)</f>
        <v>0</v>
      </c>
      <c r="K22" s="16" t="n">
        <f aca="false">IF(MOD(F22,Assumptions!$B$6)=0,1,0)</f>
        <v>0</v>
      </c>
      <c r="L22" s="16" t="n">
        <f aca="false">IF(WEEKDAY(B22,2)&gt;5,1,0)</f>
        <v>1</v>
      </c>
      <c r="M22" s="16" t="n">
        <f aca="false">IF(COUNTIF($D$2:$D$49,D22)&gt;1,1,0)</f>
        <v>0</v>
      </c>
      <c r="N22" s="16" t="n">
        <f aca="false">IF(COUNTIF($D$2:D22,D22)&gt;1,1,0)</f>
        <v>0</v>
      </c>
      <c r="O22" s="16" t="n">
        <f aca="false">IF(H22&lt;&gt;Assumptions!$B$7,1,0)</f>
        <v>0</v>
      </c>
      <c r="P22" s="16" t="n">
        <f aca="false">SUM(J22:M22)+O22</f>
        <v>1</v>
      </c>
    </row>
    <row r="23" customFormat="false" ht="15" hidden="false" customHeight="false" outlineLevel="0" collapsed="false">
      <c r="A23" s="3" t="s">
        <v>107</v>
      </c>
      <c r="B23" s="13" t="n">
        <v>45801</v>
      </c>
      <c r="C23" s="3" t="s">
        <v>61</v>
      </c>
      <c r="D23" s="3" t="s">
        <v>108</v>
      </c>
      <c r="E23" s="3" t="s">
        <v>63</v>
      </c>
      <c r="F23" s="14" t="n">
        <v>499500</v>
      </c>
      <c r="G23" s="15" t="n">
        <v>1</v>
      </c>
      <c r="H23" s="3" t="s">
        <v>64</v>
      </c>
      <c r="I23" s="16" t="str">
        <f aca="false">TEXT(B23,"ddd")</f>
        <v>Sat</v>
      </c>
      <c r="J23" s="16" t="n">
        <f aca="false">IF(AND(F23&gt;=Assumptions!$B$4*(1-Assumptions!$B$5),F23&lt;Assumptions!$B$4),1,0)</f>
        <v>1</v>
      </c>
      <c r="K23" s="16" t="n">
        <f aca="false">IF(MOD(F23,Assumptions!$B$6)=0,1,0)</f>
        <v>0</v>
      </c>
      <c r="L23" s="16" t="n">
        <f aca="false">IF(WEEKDAY(B23,2)&gt;5,1,0)</f>
        <v>1</v>
      </c>
      <c r="M23" s="16" t="n">
        <f aca="false">IF(COUNTIF($D$2:$D$49,D23)&gt;1,1,0)</f>
        <v>0</v>
      </c>
      <c r="N23" s="16" t="n">
        <f aca="false">IF(COUNTIF($D$2:D23,D23)&gt;1,1,0)</f>
        <v>0</v>
      </c>
      <c r="O23" s="16" t="n">
        <f aca="false">IF(H23&lt;&gt;Assumptions!$B$7,1,0)</f>
        <v>1</v>
      </c>
      <c r="P23" s="16" t="n">
        <f aca="false">SUM(J23:M23)+O23</f>
        <v>3</v>
      </c>
    </row>
    <row r="24" customFormat="false" ht="15" hidden="false" customHeight="false" outlineLevel="0" collapsed="false">
      <c r="A24" s="3" t="s">
        <v>109</v>
      </c>
      <c r="B24" s="13" t="n">
        <v>45806</v>
      </c>
      <c r="C24" s="3" t="s">
        <v>66</v>
      </c>
      <c r="D24" s="3" t="s">
        <v>100</v>
      </c>
      <c r="E24" s="3" t="s">
        <v>68</v>
      </c>
      <c r="F24" s="14" t="n">
        <v>312450</v>
      </c>
      <c r="G24" s="15" t="n">
        <v>1</v>
      </c>
      <c r="H24" s="3" t="s">
        <v>33</v>
      </c>
      <c r="I24" s="16" t="str">
        <f aca="false">TEXT(B24,"ddd")</f>
        <v>Thu</v>
      </c>
      <c r="J24" s="16" t="n">
        <f aca="false">IF(AND(F24&gt;=Assumptions!$B$4*(1-Assumptions!$B$5),F24&lt;Assumptions!$B$4),1,0)</f>
        <v>0</v>
      </c>
      <c r="K24" s="16" t="n">
        <f aca="false">IF(MOD(F24,Assumptions!$B$6)=0,1,0)</f>
        <v>0</v>
      </c>
      <c r="L24" s="16" t="n">
        <f aca="false">IF(WEEKDAY(B24,2)&gt;5,1,0)</f>
        <v>0</v>
      </c>
      <c r="M24" s="16" t="n">
        <f aca="false">IF(COUNTIF($D$2:$D$49,D24)&gt;1,1,0)</f>
        <v>1</v>
      </c>
      <c r="N24" s="16" t="n">
        <f aca="false">IF(COUNTIF($D$2:D24,D24)&gt;1,1,0)</f>
        <v>1</v>
      </c>
      <c r="O24" s="16" t="n">
        <f aca="false">IF(H24&lt;&gt;Assumptions!$B$7,1,0)</f>
        <v>0</v>
      </c>
      <c r="P24" s="16" t="n">
        <f aca="false">SUM(J24:M24)+O24</f>
        <v>1</v>
      </c>
    </row>
    <row r="25" customFormat="false" ht="15" hidden="false" customHeight="false" outlineLevel="0" collapsed="false">
      <c r="A25" s="3" t="s">
        <v>110</v>
      </c>
      <c r="B25" s="13" t="n">
        <v>45818</v>
      </c>
      <c r="C25" s="3" t="s">
        <v>74</v>
      </c>
      <c r="D25" s="3" t="s">
        <v>111</v>
      </c>
      <c r="E25" s="3" t="s">
        <v>76</v>
      </c>
      <c r="F25" s="14" t="n">
        <v>250000</v>
      </c>
      <c r="G25" s="15" t="n">
        <v>1</v>
      </c>
      <c r="H25" s="3" t="s">
        <v>33</v>
      </c>
      <c r="I25" s="16" t="str">
        <f aca="false">TEXT(B25,"ddd")</f>
        <v>Tue</v>
      </c>
      <c r="J25" s="16" t="n">
        <f aca="false">IF(AND(F25&gt;=Assumptions!$B$4*(1-Assumptions!$B$5),F25&lt;Assumptions!$B$4),1,0)</f>
        <v>0</v>
      </c>
      <c r="K25" s="16" t="n">
        <f aca="false">IF(MOD(F25,Assumptions!$B$6)=0,1,0)</f>
        <v>1</v>
      </c>
      <c r="L25" s="16" t="n">
        <f aca="false">IF(WEEKDAY(B25,2)&gt;5,1,0)</f>
        <v>0</v>
      </c>
      <c r="M25" s="16" t="n">
        <f aca="false">IF(COUNTIF($D$2:$D$49,D25)&gt;1,1,0)</f>
        <v>0</v>
      </c>
      <c r="N25" s="16" t="n">
        <f aca="false">IF(COUNTIF($D$2:D25,D25)&gt;1,1,0)</f>
        <v>0</v>
      </c>
      <c r="O25" s="16" t="n">
        <f aca="false">IF(H25&lt;&gt;Assumptions!$B$7,1,0)</f>
        <v>0</v>
      </c>
      <c r="P25" s="16" t="n">
        <f aca="false">SUM(J25:M25)+O25</f>
        <v>1</v>
      </c>
    </row>
    <row r="26" customFormat="false" ht="15" hidden="false" customHeight="false" outlineLevel="0" collapsed="false">
      <c r="A26" s="3" t="s">
        <v>112</v>
      </c>
      <c r="B26" s="13" t="n">
        <v>45822</v>
      </c>
      <c r="C26" s="3" t="s">
        <v>61</v>
      </c>
      <c r="D26" s="3" t="s">
        <v>113</v>
      </c>
      <c r="E26" s="3" t="s">
        <v>63</v>
      </c>
      <c r="F26" s="14" t="n">
        <v>497000</v>
      </c>
      <c r="G26" s="15" t="n">
        <v>1</v>
      </c>
      <c r="H26" s="3" t="s">
        <v>64</v>
      </c>
      <c r="I26" s="16" t="str">
        <f aca="false">TEXT(B26,"ddd")</f>
        <v>Sat</v>
      </c>
      <c r="J26" s="16" t="n">
        <f aca="false">IF(AND(F26&gt;=Assumptions!$B$4*(1-Assumptions!$B$5),F26&lt;Assumptions!$B$4),1,0)</f>
        <v>1</v>
      </c>
      <c r="K26" s="16" t="n">
        <f aca="false">IF(MOD(F26,Assumptions!$B$6)=0,1,0)</f>
        <v>0</v>
      </c>
      <c r="L26" s="16" t="n">
        <f aca="false">IF(WEEKDAY(B26,2)&gt;5,1,0)</f>
        <v>1</v>
      </c>
      <c r="M26" s="16" t="n">
        <f aca="false">IF(COUNTIF($D$2:$D$49,D26)&gt;1,1,0)</f>
        <v>0</v>
      </c>
      <c r="N26" s="16" t="n">
        <f aca="false">IF(COUNTIF($D$2:D26,D26)&gt;1,1,0)</f>
        <v>0</v>
      </c>
      <c r="O26" s="16" t="n">
        <f aca="false">IF(H26&lt;&gt;Assumptions!$B$7,1,0)</f>
        <v>1</v>
      </c>
      <c r="P26" s="16" t="n">
        <f aca="false">SUM(J26:M26)+O26</f>
        <v>3</v>
      </c>
    </row>
    <row r="27" customFormat="false" ht="15" hidden="false" customHeight="false" outlineLevel="0" collapsed="false">
      <c r="A27" s="3" t="s">
        <v>114</v>
      </c>
      <c r="B27" s="13" t="n">
        <v>45823</v>
      </c>
      <c r="C27" s="3" t="s">
        <v>57</v>
      </c>
      <c r="D27" s="3" t="s">
        <v>115</v>
      </c>
      <c r="E27" s="3" t="s">
        <v>59</v>
      </c>
      <c r="F27" s="14" t="n">
        <v>111163</v>
      </c>
      <c r="G27" s="15" t="n">
        <v>1</v>
      </c>
      <c r="H27" s="3" t="s">
        <v>33</v>
      </c>
      <c r="I27" s="16" t="str">
        <f aca="false">TEXT(B27,"ddd")</f>
        <v>Sun</v>
      </c>
      <c r="J27" s="16" t="n">
        <f aca="false">IF(AND(F27&gt;=Assumptions!$B$4*(1-Assumptions!$B$5),F27&lt;Assumptions!$B$4),1,0)</f>
        <v>0</v>
      </c>
      <c r="K27" s="16" t="n">
        <f aca="false">IF(MOD(F27,Assumptions!$B$6)=0,1,0)</f>
        <v>0</v>
      </c>
      <c r="L27" s="16" t="n">
        <f aca="false">IF(WEEKDAY(B27,2)&gt;5,1,0)</f>
        <v>1</v>
      </c>
      <c r="M27" s="16" t="n">
        <f aca="false">IF(COUNTIF($D$2:$D$49,D27)&gt;1,1,0)</f>
        <v>0</v>
      </c>
      <c r="N27" s="16" t="n">
        <f aca="false">IF(COUNTIF($D$2:D27,D27)&gt;1,1,0)</f>
        <v>0</v>
      </c>
      <c r="O27" s="16" t="n">
        <f aca="false">IF(H27&lt;&gt;Assumptions!$B$7,1,0)</f>
        <v>0</v>
      </c>
      <c r="P27" s="16" t="n">
        <f aca="false">SUM(J27:M27)+O27</f>
        <v>1</v>
      </c>
    </row>
    <row r="28" customFormat="false" ht="15" hidden="false" customHeight="false" outlineLevel="0" collapsed="false">
      <c r="A28" s="3" t="s">
        <v>116</v>
      </c>
      <c r="B28" s="13" t="n">
        <v>45834</v>
      </c>
      <c r="C28" s="3" t="s">
        <v>66</v>
      </c>
      <c r="D28" s="3" t="s">
        <v>117</v>
      </c>
      <c r="E28" s="3" t="s">
        <v>68</v>
      </c>
      <c r="F28" s="14" t="n">
        <v>181798</v>
      </c>
      <c r="G28" s="15" t="n">
        <v>1</v>
      </c>
      <c r="H28" s="3" t="s">
        <v>33</v>
      </c>
      <c r="I28" s="16" t="str">
        <f aca="false">TEXT(B28,"ddd")</f>
        <v>Thu</v>
      </c>
      <c r="J28" s="16" t="n">
        <f aca="false">IF(AND(F28&gt;=Assumptions!$B$4*(1-Assumptions!$B$5),F28&lt;Assumptions!$B$4),1,0)</f>
        <v>0</v>
      </c>
      <c r="K28" s="16" t="n">
        <f aca="false">IF(MOD(F28,Assumptions!$B$6)=0,1,0)</f>
        <v>0</v>
      </c>
      <c r="L28" s="16" t="n">
        <f aca="false">IF(WEEKDAY(B28,2)&gt;5,1,0)</f>
        <v>0</v>
      </c>
      <c r="M28" s="16" t="n">
        <f aca="false">IF(COUNTIF($D$2:$D$49,D28)&gt;1,1,0)</f>
        <v>0</v>
      </c>
      <c r="N28" s="16" t="n">
        <f aca="false">IF(COUNTIF($D$2:D28,D28)&gt;1,1,0)</f>
        <v>0</v>
      </c>
      <c r="O28" s="16" t="n">
        <f aca="false">IF(H28&lt;&gt;Assumptions!$B$7,1,0)</f>
        <v>0</v>
      </c>
      <c r="P28" s="16" t="n">
        <f aca="false">SUM(J28:M28)+O28</f>
        <v>0</v>
      </c>
    </row>
    <row r="29" customFormat="false" ht="15" hidden="false" customHeight="false" outlineLevel="0" collapsed="false">
      <c r="A29" s="3" t="s">
        <v>118</v>
      </c>
      <c r="B29" s="13" t="n">
        <v>45843</v>
      </c>
      <c r="C29" s="3" t="s">
        <v>70</v>
      </c>
      <c r="D29" s="3" t="s">
        <v>119</v>
      </c>
      <c r="E29" s="3" t="s">
        <v>72</v>
      </c>
      <c r="F29" s="14" t="n">
        <v>72661</v>
      </c>
      <c r="G29" s="15" t="n">
        <v>1</v>
      </c>
      <c r="H29" s="3" t="s">
        <v>33</v>
      </c>
      <c r="I29" s="16" t="str">
        <f aca="false">TEXT(B29,"ddd")</f>
        <v>Sat</v>
      </c>
      <c r="J29" s="16" t="n">
        <f aca="false">IF(AND(F29&gt;=Assumptions!$B$4*(1-Assumptions!$B$5),F29&lt;Assumptions!$B$4),1,0)</f>
        <v>0</v>
      </c>
      <c r="K29" s="16" t="n">
        <f aca="false">IF(MOD(F29,Assumptions!$B$6)=0,1,0)</f>
        <v>0</v>
      </c>
      <c r="L29" s="16" t="n">
        <f aca="false">IF(WEEKDAY(B29,2)&gt;5,1,0)</f>
        <v>1</v>
      </c>
      <c r="M29" s="16" t="n">
        <f aca="false">IF(COUNTIF($D$2:$D$49,D29)&gt;1,1,0)</f>
        <v>0</v>
      </c>
      <c r="N29" s="16" t="n">
        <f aca="false">IF(COUNTIF($D$2:D29,D29)&gt;1,1,0)</f>
        <v>0</v>
      </c>
      <c r="O29" s="16" t="n">
        <f aca="false">IF(H29&lt;&gt;Assumptions!$B$7,1,0)</f>
        <v>0</v>
      </c>
      <c r="P29" s="16" t="n">
        <f aca="false">SUM(J29:M29)+O29</f>
        <v>1</v>
      </c>
    </row>
    <row r="30" customFormat="false" ht="15" hidden="false" customHeight="false" outlineLevel="0" collapsed="false">
      <c r="A30" s="3" t="s">
        <v>120</v>
      </c>
      <c r="B30" s="13" t="n">
        <v>45853</v>
      </c>
      <c r="C30" s="3" t="s">
        <v>57</v>
      </c>
      <c r="D30" s="3" t="s">
        <v>121</v>
      </c>
      <c r="E30" s="3" t="s">
        <v>59</v>
      </c>
      <c r="F30" s="14" t="n">
        <v>201764</v>
      </c>
      <c r="G30" s="15" t="n">
        <v>1</v>
      </c>
      <c r="H30" s="3" t="s">
        <v>33</v>
      </c>
      <c r="I30" s="16" t="str">
        <f aca="false">TEXT(B30,"ddd")</f>
        <v>Tue</v>
      </c>
      <c r="J30" s="16" t="n">
        <f aca="false">IF(AND(F30&gt;=Assumptions!$B$4*(1-Assumptions!$B$5),F30&lt;Assumptions!$B$4),1,0)</f>
        <v>0</v>
      </c>
      <c r="K30" s="16" t="n">
        <f aca="false">IF(MOD(F30,Assumptions!$B$6)=0,1,0)</f>
        <v>0</v>
      </c>
      <c r="L30" s="16" t="n">
        <f aca="false">IF(WEEKDAY(B30,2)&gt;5,1,0)</f>
        <v>0</v>
      </c>
      <c r="M30" s="16" t="n">
        <f aca="false">IF(COUNTIF($D$2:$D$49,D30)&gt;1,1,0)</f>
        <v>0</v>
      </c>
      <c r="N30" s="16" t="n">
        <f aca="false">IF(COUNTIF($D$2:D30,D30)&gt;1,1,0)</f>
        <v>0</v>
      </c>
      <c r="O30" s="16" t="n">
        <f aca="false">IF(H30&lt;&gt;Assumptions!$B$7,1,0)</f>
        <v>0</v>
      </c>
      <c r="P30" s="16" t="n">
        <f aca="false">SUM(J30:M30)+O30</f>
        <v>0</v>
      </c>
    </row>
    <row r="31" customFormat="false" ht="15" hidden="false" customHeight="false" outlineLevel="0" collapsed="false">
      <c r="A31" s="3" t="s">
        <v>122</v>
      </c>
      <c r="B31" s="13" t="n">
        <v>45857</v>
      </c>
      <c r="C31" s="3" t="s">
        <v>61</v>
      </c>
      <c r="D31" s="3" t="s">
        <v>123</v>
      </c>
      <c r="E31" s="3" t="s">
        <v>63</v>
      </c>
      <c r="F31" s="14" t="n">
        <v>499000</v>
      </c>
      <c r="G31" s="15" t="n">
        <v>1</v>
      </c>
      <c r="H31" s="3" t="s">
        <v>64</v>
      </c>
      <c r="I31" s="16" t="str">
        <f aca="false">TEXT(B31,"ddd")</f>
        <v>Sat</v>
      </c>
      <c r="J31" s="16" t="n">
        <f aca="false">IF(AND(F31&gt;=Assumptions!$B$4*(1-Assumptions!$B$5),F31&lt;Assumptions!$B$4),1,0)</f>
        <v>1</v>
      </c>
      <c r="K31" s="16" t="n">
        <f aca="false">IF(MOD(F31,Assumptions!$B$6)=0,1,0)</f>
        <v>0</v>
      </c>
      <c r="L31" s="16" t="n">
        <f aca="false">IF(WEEKDAY(B31,2)&gt;5,1,0)</f>
        <v>1</v>
      </c>
      <c r="M31" s="16" t="n">
        <f aca="false">IF(COUNTIF($D$2:$D$49,D31)&gt;1,1,0)</f>
        <v>0</v>
      </c>
      <c r="N31" s="16" t="n">
        <f aca="false">IF(COUNTIF($D$2:D31,D31)&gt;1,1,0)</f>
        <v>0</v>
      </c>
      <c r="O31" s="16" t="n">
        <f aca="false">IF(H31&lt;&gt;Assumptions!$B$7,1,0)</f>
        <v>1</v>
      </c>
      <c r="P31" s="16" t="n">
        <f aca="false">SUM(J31:M31)+O31</f>
        <v>3</v>
      </c>
    </row>
    <row r="32" customFormat="false" ht="15" hidden="false" customHeight="false" outlineLevel="0" collapsed="false">
      <c r="A32" s="3" t="s">
        <v>124</v>
      </c>
      <c r="B32" s="13" t="n">
        <v>45881</v>
      </c>
      <c r="C32" s="3" t="s">
        <v>57</v>
      </c>
      <c r="D32" s="3" t="s">
        <v>125</v>
      </c>
      <c r="E32" s="3" t="s">
        <v>59</v>
      </c>
      <c r="F32" s="14" t="n">
        <v>212574</v>
      </c>
      <c r="G32" s="15" t="n">
        <v>1</v>
      </c>
      <c r="H32" s="3" t="s">
        <v>33</v>
      </c>
      <c r="I32" s="16" t="str">
        <f aca="false">TEXT(B32,"ddd")</f>
        <v>Tue</v>
      </c>
      <c r="J32" s="16" t="n">
        <f aca="false">IF(AND(F32&gt;=Assumptions!$B$4*(1-Assumptions!$B$5),F32&lt;Assumptions!$B$4),1,0)</f>
        <v>0</v>
      </c>
      <c r="K32" s="16" t="n">
        <f aca="false">IF(MOD(F32,Assumptions!$B$6)=0,1,0)</f>
        <v>0</v>
      </c>
      <c r="L32" s="16" t="n">
        <f aca="false">IF(WEEKDAY(B32,2)&gt;5,1,0)</f>
        <v>0</v>
      </c>
      <c r="M32" s="16" t="n">
        <f aca="false">IF(COUNTIF($D$2:$D$49,D32)&gt;1,1,0)</f>
        <v>0</v>
      </c>
      <c r="N32" s="16" t="n">
        <f aca="false">IF(COUNTIF($D$2:D32,D32)&gt;1,1,0)</f>
        <v>0</v>
      </c>
      <c r="O32" s="16" t="n">
        <f aca="false">IF(H32&lt;&gt;Assumptions!$B$7,1,0)</f>
        <v>0</v>
      </c>
      <c r="P32" s="16" t="n">
        <f aca="false">SUM(J32:M32)+O32</f>
        <v>0</v>
      </c>
    </row>
    <row r="33" customFormat="false" ht="15" hidden="false" customHeight="false" outlineLevel="0" collapsed="false">
      <c r="A33" s="3" t="s">
        <v>126</v>
      </c>
      <c r="B33" s="13" t="n">
        <v>45881</v>
      </c>
      <c r="C33" s="3" t="s">
        <v>74</v>
      </c>
      <c r="D33" s="3" t="s">
        <v>127</v>
      </c>
      <c r="E33" s="3" t="s">
        <v>76</v>
      </c>
      <c r="F33" s="14" t="n">
        <v>300000</v>
      </c>
      <c r="G33" s="15" t="n">
        <v>1</v>
      </c>
      <c r="H33" s="3" t="s">
        <v>33</v>
      </c>
      <c r="I33" s="16" t="str">
        <f aca="false">TEXT(B33,"ddd")</f>
        <v>Tue</v>
      </c>
      <c r="J33" s="16" t="n">
        <f aca="false">IF(AND(F33&gt;=Assumptions!$B$4*(1-Assumptions!$B$5),F33&lt;Assumptions!$B$4),1,0)</f>
        <v>0</v>
      </c>
      <c r="K33" s="16" t="n">
        <f aca="false">IF(MOD(F33,Assumptions!$B$6)=0,1,0)</f>
        <v>1</v>
      </c>
      <c r="L33" s="16" t="n">
        <f aca="false">IF(WEEKDAY(B33,2)&gt;5,1,0)</f>
        <v>0</v>
      </c>
      <c r="M33" s="16" t="n">
        <f aca="false">IF(COUNTIF($D$2:$D$49,D33)&gt;1,1,0)</f>
        <v>0</v>
      </c>
      <c r="N33" s="16" t="n">
        <f aca="false">IF(COUNTIF($D$2:D33,D33)&gt;1,1,0)</f>
        <v>0</v>
      </c>
      <c r="O33" s="16" t="n">
        <f aca="false">IF(H33&lt;&gt;Assumptions!$B$7,1,0)</f>
        <v>0</v>
      </c>
      <c r="P33" s="16" t="n">
        <f aca="false">SUM(J33:M33)+O33</f>
        <v>1</v>
      </c>
    </row>
    <row r="34" customFormat="false" ht="15" hidden="false" customHeight="false" outlineLevel="0" collapsed="false">
      <c r="A34" s="3" t="s">
        <v>128</v>
      </c>
      <c r="B34" s="13" t="n">
        <v>45886</v>
      </c>
      <c r="C34" s="3" t="s">
        <v>70</v>
      </c>
      <c r="D34" s="3" t="s">
        <v>129</v>
      </c>
      <c r="E34" s="3" t="s">
        <v>72</v>
      </c>
      <c r="F34" s="14" t="n">
        <v>113445</v>
      </c>
      <c r="G34" s="15" t="n">
        <v>1</v>
      </c>
      <c r="H34" s="3" t="s">
        <v>33</v>
      </c>
      <c r="I34" s="16" t="str">
        <f aca="false">TEXT(B34,"ddd")</f>
        <v>Sun</v>
      </c>
      <c r="J34" s="16" t="n">
        <f aca="false">IF(AND(F34&gt;=Assumptions!$B$4*(1-Assumptions!$B$5),F34&lt;Assumptions!$B$4),1,0)</f>
        <v>0</v>
      </c>
      <c r="K34" s="16" t="n">
        <f aca="false">IF(MOD(F34,Assumptions!$B$6)=0,1,0)</f>
        <v>0</v>
      </c>
      <c r="L34" s="16" t="n">
        <f aca="false">IF(WEEKDAY(B34,2)&gt;5,1,0)</f>
        <v>1</v>
      </c>
      <c r="M34" s="16" t="n">
        <f aca="false">IF(COUNTIF($D$2:$D$49,D34)&gt;1,1,0)</f>
        <v>0</v>
      </c>
      <c r="N34" s="16" t="n">
        <f aca="false">IF(COUNTIF($D$2:D34,D34)&gt;1,1,0)</f>
        <v>0</v>
      </c>
      <c r="O34" s="16" t="n">
        <f aca="false">IF(H34&lt;&gt;Assumptions!$B$7,1,0)</f>
        <v>0</v>
      </c>
      <c r="P34" s="16" t="n">
        <f aca="false">SUM(J34:M34)+O34</f>
        <v>1</v>
      </c>
    </row>
    <row r="35" customFormat="false" ht="15" hidden="false" customHeight="false" outlineLevel="0" collapsed="false">
      <c r="A35" s="3" t="s">
        <v>130</v>
      </c>
      <c r="B35" s="13" t="n">
        <v>45892</v>
      </c>
      <c r="C35" s="3" t="s">
        <v>61</v>
      </c>
      <c r="D35" s="3" t="s">
        <v>131</v>
      </c>
      <c r="E35" s="3" t="s">
        <v>63</v>
      </c>
      <c r="F35" s="14" t="n">
        <v>498000</v>
      </c>
      <c r="G35" s="15" t="n">
        <v>1</v>
      </c>
      <c r="H35" s="3" t="s">
        <v>64</v>
      </c>
      <c r="I35" s="16" t="str">
        <f aca="false">TEXT(B35,"ddd")</f>
        <v>Sat</v>
      </c>
      <c r="J35" s="16" t="n">
        <f aca="false">IF(AND(F35&gt;=Assumptions!$B$4*(1-Assumptions!$B$5),F35&lt;Assumptions!$B$4),1,0)</f>
        <v>1</v>
      </c>
      <c r="K35" s="16" t="n">
        <f aca="false">IF(MOD(F35,Assumptions!$B$6)=0,1,0)</f>
        <v>0</v>
      </c>
      <c r="L35" s="16" t="n">
        <f aca="false">IF(WEEKDAY(B35,2)&gt;5,1,0)</f>
        <v>1</v>
      </c>
      <c r="M35" s="16" t="n">
        <f aca="false">IF(COUNTIF($D$2:$D$49,D35)&gt;1,1,0)</f>
        <v>0</v>
      </c>
      <c r="N35" s="16" t="n">
        <f aca="false">IF(COUNTIF($D$2:D35,D35)&gt;1,1,0)</f>
        <v>0</v>
      </c>
      <c r="O35" s="16" t="n">
        <f aca="false">IF(H35&lt;&gt;Assumptions!$B$7,1,0)</f>
        <v>1</v>
      </c>
      <c r="P35" s="16" t="n">
        <f aca="false">SUM(J35:M35)+O35</f>
        <v>3</v>
      </c>
    </row>
    <row r="36" customFormat="false" ht="15" hidden="false" customHeight="false" outlineLevel="0" collapsed="false">
      <c r="A36" s="3" t="s">
        <v>132</v>
      </c>
      <c r="B36" s="13" t="n">
        <v>45912</v>
      </c>
      <c r="C36" s="3" t="s">
        <v>66</v>
      </c>
      <c r="D36" s="3" t="s">
        <v>133</v>
      </c>
      <c r="E36" s="3" t="s">
        <v>68</v>
      </c>
      <c r="F36" s="14" t="n">
        <v>202995</v>
      </c>
      <c r="G36" s="15" t="n">
        <v>1</v>
      </c>
      <c r="H36" s="3" t="s">
        <v>33</v>
      </c>
      <c r="I36" s="16" t="str">
        <f aca="false">TEXT(B36,"ddd")</f>
        <v>Fri</v>
      </c>
      <c r="J36" s="16" t="n">
        <f aca="false">IF(AND(F36&gt;=Assumptions!$B$4*(1-Assumptions!$B$5),F36&lt;Assumptions!$B$4),1,0)</f>
        <v>0</v>
      </c>
      <c r="K36" s="16" t="n">
        <f aca="false">IF(MOD(F36,Assumptions!$B$6)=0,1,0)</f>
        <v>0</v>
      </c>
      <c r="L36" s="16" t="n">
        <f aca="false">IF(WEEKDAY(B36,2)&gt;5,1,0)</f>
        <v>0</v>
      </c>
      <c r="M36" s="16" t="n">
        <f aca="false">IF(COUNTIF($D$2:$D$49,D36)&gt;1,1,0)</f>
        <v>0</v>
      </c>
      <c r="N36" s="16" t="n">
        <f aca="false">IF(COUNTIF($D$2:D36,D36)&gt;1,1,0)</f>
        <v>0</v>
      </c>
      <c r="O36" s="16" t="n">
        <f aca="false">IF(H36&lt;&gt;Assumptions!$B$7,1,0)</f>
        <v>0</v>
      </c>
      <c r="P36" s="16" t="n">
        <f aca="false">SUM(J36:M36)+O36</f>
        <v>0</v>
      </c>
    </row>
    <row r="37" customFormat="false" ht="15" hidden="false" customHeight="false" outlineLevel="0" collapsed="false">
      <c r="A37" s="3" t="s">
        <v>134</v>
      </c>
      <c r="B37" s="13" t="n">
        <v>45912</v>
      </c>
      <c r="C37" s="3" t="s">
        <v>53</v>
      </c>
      <c r="D37" s="3" t="s">
        <v>135</v>
      </c>
      <c r="E37" s="3" t="s">
        <v>55</v>
      </c>
      <c r="F37" s="14" t="n">
        <v>88056</v>
      </c>
      <c r="G37" s="15" t="n">
        <v>1</v>
      </c>
      <c r="H37" s="3" t="s">
        <v>33</v>
      </c>
      <c r="I37" s="16" t="str">
        <f aca="false">TEXT(B37,"ddd")</f>
        <v>Fri</v>
      </c>
      <c r="J37" s="16" t="n">
        <f aca="false">IF(AND(F37&gt;=Assumptions!$B$4*(1-Assumptions!$B$5),F37&lt;Assumptions!$B$4),1,0)</f>
        <v>0</v>
      </c>
      <c r="K37" s="16" t="n">
        <f aca="false">IF(MOD(F37,Assumptions!$B$6)=0,1,0)</f>
        <v>0</v>
      </c>
      <c r="L37" s="16" t="n">
        <f aca="false">IF(WEEKDAY(B37,2)&gt;5,1,0)</f>
        <v>0</v>
      </c>
      <c r="M37" s="16" t="n">
        <f aca="false">IF(COUNTIF($D$2:$D$49,D37)&gt;1,1,0)</f>
        <v>0</v>
      </c>
      <c r="N37" s="16" t="n">
        <f aca="false">IF(COUNTIF($D$2:D37,D37)&gt;1,1,0)</f>
        <v>0</v>
      </c>
      <c r="O37" s="16" t="n">
        <f aca="false">IF(H37&lt;&gt;Assumptions!$B$7,1,0)</f>
        <v>0</v>
      </c>
      <c r="P37" s="16" t="n">
        <f aca="false">SUM(J37:M37)+O37</f>
        <v>0</v>
      </c>
    </row>
    <row r="38" customFormat="false" ht="15" hidden="false" customHeight="false" outlineLevel="0" collapsed="false">
      <c r="A38" s="3" t="s">
        <v>136</v>
      </c>
      <c r="B38" s="13" t="n">
        <v>45913</v>
      </c>
      <c r="C38" s="3" t="s">
        <v>61</v>
      </c>
      <c r="D38" s="3" t="s">
        <v>137</v>
      </c>
      <c r="E38" s="3" t="s">
        <v>63</v>
      </c>
      <c r="F38" s="14" t="n">
        <v>499500</v>
      </c>
      <c r="G38" s="15" t="n">
        <v>1</v>
      </c>
      <c r="H38" s="3" t="s">
        <v>64</v>
      </c>
      <c r="I38" s="16" t="str">
        <f aca="false">TEXT(B38,"ddd")</f>
        <v>Sat</v>
      </c>
      <c r="J38" s="16" t="n">
        <f aca="false">IF(AND(F38&gt;=Assumptions!$B$4*(1-Assumptions!$B$5),F38&lt;Assumptions!$B$4),1,0)</f>
        <v>1</v>
      </c>
      <c r="K38" s="16" t="n">
        <f aca="false">IF(MOD(F38,Assumptions!$B$6)=0,1,0)</f>
        <v>0</v>
      </c>
      <c r="L38" s="16" t="n">
        <f aca="false">IF(WEEKDAY(B38,2)&gt;5,1,0)</f>
        <v>1</v>
      </c>
      <c r="M38" s="16" t="n">
        <f aca="false">IF(COUNTIF($D$2:$D$49,D38)&gt;1,1,0)</f>
        <v>0</v>
      </c>
      <c r="N38" s="16" t="n">
        <f aca="false">IF(COUNTIF($D$2:D38,D38)&gt;1,1,0)</f>
        <v>0</v>
      </c>
      <c r="O38" s="16" t="n">
        <f aca="false">IF(H38&lt;&gt;Assumptions!$B$7,1,0)</f>
        <v>1</v>
      </c>
      <c r="P38" s="16" t="n">
        <f aca="false">SUM(J38:M38)+O38</f>
        <v>3</v>
      </c>
    </row>
    <row r="39" customFormat="false" ht="15" hidden="false" customHeight="false" outlineLevel="0" collapsed="false">
      <c r="A39" s="3" t="s">
        <v>138</v>
      </c>
      <c r="B39" s="13" t="n">
        <v>45919</v>
      </c>
      <c r="C39" s="3" t="s">
        <v>70</v>
      </c>
      <c r="D39" s="3" t="s">
        <v>139</v>
      </c>
      <c r="E39" s="3" t="s">
        <v>72</v>
      </c>
      <c r="F39" s="14" t="n">
        <v>53222</v>
      </c>
      <c r="G39" s="15" t="n">
        <v>1</v>
      </c>
      <c r="H39" s="3" t="s">
        <v>33</v>
      </c>
      <c r="I39" s="16" t="str">
        <f aca="false">TEXT(B39,"ddd")</f>
        <v>Fri</v>
      </c>
      <c r="J39" s="16" t="n">
        <f aca="false">IF(AND(F39&gt;=Assumptions!$B$4*(1-Assumptions!$B$5),F39&lt;Assumptions!$B$4),1,0)</f>
        <v>0</v>
      </c>
      <c r="K39" s="16" t="n">
        <f aca="false">IF(MOD(F39,Assumptions!$B$6)=0,1,0)</f>
        <v>0</v>
      </c>
      <c r="L39" s="16" t="n">
        <f aca="false">IF(WEEKDAY(B39,2)&gt;5,1,0)</f>
        <v>0</v>
      </c>
      <c r="M39" s="16" t="n">
        <f aca="false">IF(COUNTIF($D$2:$D$49,D39)&gt;1,1,0)</f>
        <v>0</v>
      </c>
      <c r="N39" s="16" t="n">
        <f aca="false">IF(COUNTIF($D$2:D39,D39)&gt;1,1,0)</f>
        <v>0</v>
      </c>
      <c r="O39" s="16" t="n">
        <f aca="false">IF(H39&lt;&gt;Assumptions!$B$7,1,0)</f>
        <v>0</v>
      </c>
      <c r="P39" s="16" t="n">
        <f aca="false">SUM(J39:M39)+O39</f>
        <v>0</v>
      </c>
    </row>
    <row r="40" customFormat="false" ht="15" hidden="false" customHeight="false" outlineLevel="0" collapsed="false">
      <c r="A40" s="3" t="s">
        <v>140</v>
      </c>
      <c r="B40" s="13" t="n">
        <v>45924</v>
      </c>
      <c r="C40" s="3" t="s">
        <v>57</v>
      </c>
      <c r="D40" s="3" t="s">
        <v>141</v>
      </c>
      <c r="E40" s="3" t="s">
        <v>59</v>
      </c>
      <c r="F40" s="14" t="n">
        <v>103964</v>
      </c>
      <c r="G40" s="15" t="n">
        <v>1</v>
      </c>
      <c r="H40" s="3" t="s">
        <v>33</v>
      </c>
      <c r="I40" s="16" t="str">
        <f aca="false">TEXT(B40,"ddd")</f>
        <v>Wed</v>
      </c>
      <c r="J40" s="16" t="n">
        <f aca="false">IF(AND(F40&gt;=Assumptions!$B$4*(1-Assumptions!$B$5),F40&lt;Assumptions!$B$4),1,0)</f>
        <v>0</v>
      </c>
      <c r="K40" s="16" t="n">
        <f aca="false">IF(MOD(F40,Assumptions!$B$6)=0,1,0)</f>
        <v>0</v>
      </c>
      <c r="L40" s="16" t="n">
        <f aca="false">IF(WEEKDAY(B40,2)&gt;5,1,0)</f>
        <v>0</v>
      </c>
      <c r="M40" s="16" t="n">
        <f aca="false">IF(COUNTIF($D$2:$D$49,D40)&gt;1,1,0)</f>
        <v>0</v>
      </c>
      <c r="N40" s="16" t="n">
        <f aca="false">IF(COUNTIF($D$2:D40,D40)&gt;1,1,0)</f>
        <v>0</v>
      </c>
      <c r="O40" s="16" t="n">
        <f aca="false">IF(H40&lt;&gt;Assumptions!$B$7,1,0)</f>
        <v>0</v>
      </c>
      <c r="P40" s="16" t="n">
        <f aca="false">SUM(J40:M40)+O40</f>
        <v>0</v>
      </c>
    </row>
    <row r="41" customFormat="false" ht="15" hidden="false" customHeight="false" outlineLevel="0" collapsed="false">
      <c r="A41" s="3" t="s">
        <v>142</v>
      </c>
      <c r="B41" s="13" t="n">
        <v>45926</v>
      </c>
      <c r="C41" s="3" t="s">
        <v>143</v>
      </c>
      <c r="D41" s="3" t="s">
        <v>144</v>
      </c>
      <c r="E41" s="3" t="s">
        <v>145</v>
      </c>
      <c r="F41" s="14" t="n">
        <v>185000</v>
      </c>
      <c r="G41" s="15" t="n">
        <v>1</v>
      </c>
      <c r="H41" s="3" t="s">
        <v>33</v>
      </c>
      <c r="I41" s="16" t="str">
        <f aca="false">TEXT(B41,"ddd")</f>
        <v>Fri</v>
      </c>
      <c r="J41" s="16" t="n">
        <f aca="false">IF(AND(F41&gt;=Assumptions!$B$4*(1-Assumptions!$B$5),F41&lt;Assumptions!$B$4),1,0)</f>
        <v>0</v>
      </c>
      <c r="K41" s="16" t="n">
        <f aca="false">IF(MOD(F41,Assumptions!$B$6)=0,1,0)</f>
        <v>0</v>
      </c>
      <c r="L41" s="16" t="n">
        <f aca="false">IF(WEEKDAY(B41,2)&gt;5,1,0)</f>
        <v>0</v>
      </c>
      <c r="M41" s="16" t="n">
        <f aca="false">IF(COUNTIF($D$2:$D$49,D41)&gt;1,1,0)</f>
        <v>0</v>
      </c>
      <c r="N41" s="16" t="n">
        <f aca="false">IF(COUNTIF($D$2:D41,D41)&gt;1,1,0)</f>
        <v>0</v>
      </c>
      <c r="O41" s="16" t="n">
        <f aca="false">IF(H41&lt;&gt;Assumptions!$B$7,1,0)</f>
        <v>0</v>
      </c>
      <c r="P41" s="16" t="n">
        <f aca="false">SUM(J41:M41)+O41</f>
        <v>0</v>
      </c>
    </row>
    <row r="42" customFormat="false" ht="15" hidden="false" customHeight="false" outlineLevel="0" collapsed="false">
      <c r="A42" s="3" t="s">
        <v>146</v>
      </c>
      <c r="B42" s="13" t="n">
        <v>45937</v>
      </c>
      <c r="C42" s="3" t="s">
        <v>74</v>
      </c>
      <c r="D42" s="3" t="s">
        <v>147</v>
      </c>
      <c r="E42" s="3" t="s">
        <v>76</v>
      </c>
      <c r="F42" s="14" t="n">
        <v>350000</v>
      </c>
      <c r="G42" s="15" t="n">
        <v>1</v>
      </c>
      <c r="H42" s="3" t="s">
        <v>33</v>
      </c>
      <c r="I42" s="16" t="str">
        <f aca="false">TEXT(B42,"ddd")</f>
        <v>Tue</v>
      </c>
      <c r="J42" s="16" t="n">
        <f aca="false">IF(AND(F42&gt;=Assumptions!$B$4*(1-Assumptions!$B$5),F42&lt;Assumptions!$B$4),1,0)</f>
        <v>0</v>
      </c>
      <c r="K42" s="16" t="n">
        <f aca="false">IF(MOD(F42,Assumptions!$B$6)=0,1,0)</f>
        <v>1</v>
      </c>
      <c r="L42" s="16" t="n">
        <f aca="false">IF(WEEKDAY(B42,2)&gt;5,1,0)</f>
        <v>0</v>
      </c>
      <c r="M42" s="16" t="n">
        <f aca="false">IF(COUNTIF($D$2:$D$49,D42)&gt;1,1,0)</f>
        <v>0</v>
      </c>
      <c r="N42" s="16" t="n">
        <f aca="false">IF(COUNTIF($D$2:D42,D42)&gt;1,1,0)</f>
        <v>0</v>
      </c>
      <c r="O42" s="16" t="n">
        <f aca="false">IF(H42&lt;&gt;Assumptions!$B$7,1,0)</f>
        <v>0</v>
      </c>
      <c r="P42" s="16" t="n">
        <f aca="false">SUM(J42:M42)+O42</f>
        <v>1</v>
      </c>
    </row>
    <row r="43" customFormat="false" ht="15" hidden="false" customHeight="false" outlineLevel="0" collapsed="false">
      <c r="A43" s="3" t="s">
        <v>148</v>
      </c>
      <c r="B43" s="13" t="n">
        <v>45948</v>
      </c>
      <c r="C43" s="3" t="s">
        <v>61</v>
      </c>
      <c r="D43" s="3" t="s">
        <v>149</v>
      </c>
      <c r="E43" s="3" t="s">
        <v>63</v>
      </c>
      <c r="F43" s="14" t="n">
        <v>498000</v>
      </c>
      <c r="G43" s="15" t="n">
        <v>1</v>
      </c>
      <c r="H43" s="3" t="s">
        <v>64</v>
      </c>
      <c r="I43" s="16" t="str">
        <f aca="false">TEXT(B43,"ddd")</f>
        <v>Sat</v>
      </c>
      <c r="J43" s="16" t="n">
        <f aca="false">IF(AND(F43&gt;=Assumptions!$B$4*(1-Assumptions!$B$5),F43&lt;Assumptions!$B$4),1,0)</f>
        <v>1</v>
      </c>
      <c r="K43" s="16" t="n">
        <f aca="false">IF(MOD(F43,Assumptions!$B$6)=0,1,0)</f>
        <v>0</v>
      </c>
      <c r="L43" s="16" t="n">
        <f aca="false">IF(WEEKDAY(B43,2)&gt;5,1,0)</f>
        <v>1</v>
      </c>
      <c r="M43" s="16" t="n">
        <f aca="false">IF(COUNTIF($D$2:$D$49,D43)&gt;1,1,0)</f>
        <v>0</v>
      </c>
      <c r="N43" s="16" t="n">
        <f aca="false">IF(COUNTIF($D$2:D43,D43)&gt;1,1,0)</f>
        <v>0</v>
      </c>
      <c r="O43" s="16" t="n">
        <f aca="false">IF(H43&lt;&gt;Assumptions!$B$7,1,0)</f>
        <v>1</v>
      </c>
      <c r="P43" s="16" t="n">
        <f aca="false">SUM(J43:M43)+O43</f>
        <v>3</v>
      </c>
    </row>
    <row r="44" customFormat="false" ht="15" hidden="false" customHeight="false" outlineLevel="0" collapsed="false">
      <c r="A44" s="3" t="s">
        <v>150</v>
      </c>
      <c r="B44" s="13" t="n">
        <v>45971</v>
      </c>
      <c r="C44" s="3" t="s">
        <v>57</v>
      </c>
      <c r="D44" s="3" t="s">
        <v>151</v>
      </c>
      <c r="E44" s="3" t="s">
        <v>59</v>
      </c>
      <c r="F44" s="14" t="n">
        <v>110911</v>
      </c>
      <c r="G44" s="15" t="n">
        <v>1</v>
      </c>
      <c r="H44" s="3" t="s">
        <v>33</v>
      </c>
      <c r="I44" s="16" t="str">
        <f aca="false">TEXT(B44,"ddd")</f>
        <v>Mon</v>
      </c>
      <c r="J44" s="16" t="n">
        <f aca="false">IF(AND(F44&gt;=Assumptions!$B$4*(1-Assumptions!$B$5),F44&lt;Assumptions!$B$4),1,0)</f>
        <v>0</v>
      </c>
      <c r="K44" s="16" t="n">
        <f aca="false">IF(MOD(F44,Assumptions!$B$6)=0,1,0)</f>
        <v>0</v>
      </c>
      <c r="L44" s="16" t="n">
        <f aca="false">IF(WEEKDAY(B44,2)&gt;5,1,0)</f>
        <v>0</v>
      </c>
      <c r="M44" s="16" t="n">
        <f aca="false">IF(COUNTIF($D$2:$D$49,D44)&gt;1,1,0)</f>
        <v>0</v>
      </c>
      <c r="N44" s="16" t="n">
        <f aca="false">IF(COUNTIF($D$2:D44,D44)&gt;1,1,0)</f>
        <v>0</v>
      </c>
      <c r="O44" s="16" t="n">
        <f aca="false">IF(H44&lt;&gt;Assumptions!$B$7,1,0)</f>
        <v>0</v>
      </c>
      <c r="P44" s="16" t="n">
        <f aca="false">SUM(J44:M44)+O44</f>
        <v>0</v>
      </c>
    </row>
    <row r="45" customFormat="false" ht="15" hidden="false" customHeight="false" outlineLevel="0" collapsed="false">
      <c r="A45" s="3" t="s">
        <v>152</v>
      </c>
      <c r="B45" s="13" t="n">
        <v>45973</v>
      </c>
      <c r="C45" s="3" t="s">
        <v>53</v>
      </c>
      <c r="D45" s="3" t="s">
        <v>153</v>
      </c>
      <c r="E45" s="3" t="s">
        <v>55</v>
      </c>
      <c r="F45" s="14" t="n">
        <v>60819</v>
      </c>
      <c r="G45" s="15" t="n">
        <v>1</v>
      </c>
      <c r="H45" s="3" t="s">
        <v>33</v>
      </c>
      <c r="I45" s="16" t="str">
        <f aca="false">TEXT(B45,"ddd")</f>
        <v>Wed</v>
      </c>
      <c r="J45" s="16" t="n">
        <f aca="false">IF(AND(F45&gt;=Assumptions!$B$4*(1-Assumptions!$B$5),F45&lt;Assumptions!$B$4),1,0)</f>
        <v>0</v>
      </c>
      <c r="K45" s="16" t="n">
        <f aca="false">IF(MOD(F45,Assumptions!$B$6)=0,1,0)</f>
        <v>0</v>
      </c>
      <c r="L45" s="16" t="n">
        <f aca="false">IF(WEEKDAY(B45,2)&gt;5,1,0)</f>
        <v>0</v>
      </c>
      <c r="M45" s="16" t="n">
        <f aca="false">IF(COUNTIF($D$2:$D$49,D45)&gt;1,1,0)</f>
        <v>0</v>
      </c>
      <c r="N45" s="16" t="n">
        <f aca="false">IF(COUNTIF($D$2:D45,D45)&gt;1,1,0)</f>
        <v>0</v>
      </c>
      <c r="O45" s="16" t="n">
        <f aca="false">IF(H45&lt;&gt;Assumptions!$B$7,1,0)</f>
        <v>0</v>
      </c>
      <c r="P45" s="16" t="n">
        <f aca="false">SUM(J45:M45)+O45</f>
        <v>0</v>
      </c>
    </row>
    <row r="46" customFormat="false" ht="15" hidden="false" customHeight="false" outlineLevel="0" collapsed="false">
      <c r="A46" s="3" t="s">
        <v>154</v>
      </c>
      <c r="B46" s="13" t="n">
        <v>45987</v>
      </c>
      <c r="C46" s="3" t="s">
        <v>66</v>
      </c>
      <c r="D46" s="3" t="s">
        <v>155</v>
      </c>
      <c r="E46" s="3" t="s">
        <v>68</v>
      </c>
      <c r="F46" s="14" t="n">
        <v>245502</v>
      </c>
      <c r="G46" s="15" t="n">
        <v>1</v>
      </c>
      <c r="H46" s="3" t="s">
        <v>33</v>
      </c>
      <c r="I46" s="16" t="str">
        <f aca="false">TEXT(B46,"ddd")</f>
        <v>Wed</v>
      </c>
      <c r="J46" s="16" t="n">
        <f aca="false">IF(AND(F46&gt;=Assumptions!$B$4*(1-Assumptions!$B$5),F46&lt;Assumptions!$B$4),1,0)</f>
        <v>0</v>
      </c>
      <c r="K46" s="16" t="n">
        <f aca="false">IF(MOD(F46,Assumptions!$B$6)=0,1,0)</f>
        <v>0</v>
      </c>
      <c r="L46" s="16" t="n">
        <f aca="false">IF(WEEKDAY(B46,2)&gt;5,1,0)</f>
        <v>0</v>
      </c>
      <c r="M46" s="16" t="n">
        <f aca="false">IF(COUNTIF($D$2:$D$49,D46)&gt;1,1,0)</f>
        <v>0</v>
      </c>
      <c r="N46" s="16" t="n">
        <f aca="false">IF(COUNTIF($D$2:D46,D46)&gt;1,1,0)</f>
        <v>0</v>
      </c>
      <c r="O46" s="16" t="n">
        <f aca="false">IF(H46&lt;&gt;Assumptions!$B$7,1,0)</f>
        <v>0</v>
      </c>
      <c r="P46" s="16" t="n">
        <f aca="false">SUM(J46:M46)+O46</f>
        <v>0</v>
      </c>
    </row>
    <row r="47" customFormat="false" ht="15" hidden="false" customHeight="false" outlineLevel="0" collapsed="false">
      <c r="A47" s="3" t="s">
        <v>156</v>
      </c>
      <c r="B47" s="13" t="n">
        <v>46015</v>
      </c>
      <c r="C47" s="3" t="s">
        <v>57</v>
      </c>
      <c r="D47" s="3" t="s">
        <v>157</v>
      </c>
      <c r="E47" s="3" t="s">
        <v>59</v>
      </c>
      <c r="F47" s="14" t="n">
        <v>195941</v>
      </c>
      <c r="G47" s="15" t="n">
        <v>1</v>
      </c>
      <c r="H47" s="3" t="s">
        <v>33</v>
      </c>
      <c r="I47" s="16" t="str">
        <f aca="false">TEXT(B47,"ddd")</f>
        <v>Wed</v>
      </c>
      <c r="J47" s="16" t="n">
        <f aca="false">IF(AND(F47&gt;=Assumptions!$B$4*(1-Assumptions!$B$5),F47&lt;Assumptions!$B$4),1,0)</f>
        <v>0</v>
      </c>
      <c r="K47" s="16" t="n">
        <f aca="false">IF(MOD(F47,Assumptions!$B$6)=0,1,0)</f>
        <v>0</v>
      </c>
      <c r="L47" s="16" t="n">
        <f aca="false">IF(WEEKDAY(B47,2)&gt;5,1,0)</f>
        <v>0</v>
      </c>
      <c r="M47" s="16" t="n">
        <f aca="false">IF(COUNTIF($D$2:$D$49,D47)&gt;1,1,0)</f>
        <v>0</v>
      </c>
      <c r="N47" s="16" t="n">
        <f aca="false">IF(COUNTIF($D$2:D47,D47)&gt;1,1,0)</f>
        <v>0</v>
      </c>
      <c r="O47" s="16" t="n">
        <f aca="false">IF(H47&lt;&gt;Assumptions!$B$7,1,0)</f>
        <v>0</v>
      </c>
      <c r="P47" s="16" t="n">
        <f aca="false">SUM(J47:M47)+O47</f>
        <v>0</v>
      </c>
    </row>
    <row r="48" customFormat="false" ht="15" hidden="false" customHeight="false" outlineLevel="0" collapsed="false">
      <c r="A48" s="3" t="s">
        <v>158</v>
      </c>
      <c r="B48" s="13" t="n">
        <v>46015</v>
      </c>
      <c r="C48" s="3" t="s">
        <v>70</v>
      </c>
      <c r="D48" s="3" t="s">
        <v>159</v>
      </c>
      <c r="E48" s="3" t="s">
        <v>72</v>
      </c>
      <c r="F48" s="14" t="n">
        <v>112087</v>
      </c>
      <c r="G48" s="15" t="n">
        <v>1</v>
      </c>
      <c r="H48" s="3" t="s">
        <v>33</v>
      </c>
      <c r="I48" s="16" t="str">
        <f aca="false">TEXT(B48,"ddd")</f>
        <v>Wed</v>
      </c>
      <c r="J48" s="16" t="n">
        <f aca="false">IF(AND(F48&gt;=Assumptions!$B$4*(1-Assumptions!$B$5),F48&lt;Assumptions!$B$4),1,0)</f>
        <v>0</v>
      </c>
      <c r="K48" s="16" t="n">
        <f aca="false">IF(MOD(F48,Assumptions!$B$6)=0,1,0)</f>
        <v>0</v>
      </c>
      <c r="L48" s="16" t="n">
        <f aca="false">IF(WEEKDAY(B48,2)&gt;5,1,0)</f>
        <v>0</v>
      </c>
      <c r="M48" s="16" t="n">
        <f aca="false">IF(COUNTIF($D$2:$D$49,D48)&gt;1,1,0)</f>
        <v>0</v>
      </c>
      <c r="N48" s="16" t="n">
        <f aca="false">IF(COUNTIF($D$2:D48,D48)&gt;1,1,0)</f>
        <v>0</v>
      </c>
      <c r="O48" s="16" t="n">
        <f aca="false">IF(H48&lt;&gt;Assumptions!$B$7,1,0)</f>
        <v>0</v>
      </c>
      <c r="P48" s="16" t="n">
        <f aca="false">SUM(J48:M48)+O48</f>
        <v>0</v>
      </c>
    </row>
    <row r="49" customFormat="false" ht="15" hidden="false" customHeight="false" outlineLevel="0" collapsed="false">
      <c r="A49" s="3" t="s">
        <v>160</v>
      </c>
      <c r="B49" s="13" t="n">
        <v>46017</v>
      </c>
      <c r="C49" s="3" t="s">
        <v>53</v>
      </c>
      <c r="D49" s="3" t="s">
        <v>161</v>
      </c>
      <c r="E49" s="3" t="s">
        <v>55</v>
      </c>
      <c r="F49" s="14" t="n">
        <v>174551</v>
      </c>
      <c r="G49" s="15" t="n">
        <v>1</v>
      </c>
      <c r="H49" s="3" t="s">
        <v>33</v>
      </c>
      <c r="I49" s="16" t="str">
        <f aca="false">TEXT(B49,"ddd")</f>
        <v>Fri</v>
      </c>
      <c r="J49" s="16" t="n">
        <f aca="false">IF(AND(F49&gt;=Assumptions!$B$4*(1-Assumptions!$B$5),F49&lt;Assumptions!$B$4),1,0)</f>
        <v>0</v>
      </c>
      <c r="K49" s="16" t="n">
        <f aca="false">IF(MOD(F49,Assumptions!$B$6)=0,1,0)</f>
        <v>0</v>
      </c>
      <c r="L49" s="16" t="n">
        <f aca="false">IF(WEEKDAY(B49,2)&gt;5,1,0)</f>
        <v>0</v>
      </c>
      <c r="M49" s="16" t="n">
        <f aca="false">IF(COUNTIF($D$2:$D$49,D49)&gt;1,1,0)</f>
        <v>0</v>
      </c>
      <c r="N49" s="16" t="n">
        <f aca="false">IF(COUNTIF($D$2:D49,D49)&gt;1,1,0)</f>
        <v>0</v>
      </c>
      <c r="O49" s="16" t="n">
        <f aca="false">IF(H49&lt;&gt;Assumptions!$B$7,1,0)</f>
        <v>0</v>
      </c>
      <c r="P49" s="16" t="n">
        <f aca="false">SUM(J49:M49)+O49</f>
        <v>0</v>
      </c>
    </row>
  </sheetData>
  <autoFilter ref="A1:P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1" min="10" style="0" width="10"/>
  </cols>
  <sheetData>
    <row r="1" customFormat="false" ht="31.5" hidden="false" customHeight="true" outlineLevel="0" collapsed="false">
      <c r="A1" s="2" t="s">
        <v>38</v>
      </c>
      <c r="B1" s="2" t="s">
        <v>162</v>
      </c>
      <c r="C1" s="2" t="s">
        <v>163</v>
      </c>
      <c r="D1" s="2" t="s">
        <v>43</v>
      </c>
      <c r="E1" s="2" t="s">
        <v>164</v>
      </c>
      <c r="F1" s="2" t="s">
        <v>165</v>
      </c>
      <c r="G1" s="2" t="s">
        <v>166</v>
      </c>
      <c r="H1" s="2" t="s">
        <v>167</v>
      </c>
      <c r="I1" s="2" t="s">
        <v>168</v>
      </c>
      <c r="J1" s="2" t="s">
        <v>169</v>
      </c>
      <c r="K1" s="2" t="s">
        <v>170</v>
      </c>
    </row>
    <row r="2" customFormat="false" ht="15" hidden="false" customHeight="false" outlineLevel="0" collapsed="false">
      <c r="A2" s="17" t="s">
        <v>57</v>
      </c>
      <c r="B2" s="18" t="n">
        <v>43557</v>
      </c>
      <c r="C2" s="17" t="s">
        <v>171</v>
      </c>
      <c r="D2" s="17" t="s">
        <v>33</v>
      </c>
      <c r="E2" s="17" t="s">
        <v>172</v>
      </c>
      <c r="F2" s="18" t="n">
        <f aca="false">_xlfn.MINIFS(Payments!$B$2:$B$49,Payments!$C$2:$C$49,A2)</f>
        <v>45665</v>
      </c>
      <c r="G2" s="19" t="n">
        <f aca="false">F2-B2</f>
        <v>2108</v>
      </c>
      <c r="H2" s="17" t="n">
        <f aca="false">COUNTIF(Payments!$C$2:$C$49,A2)</f>
        <v>10</v>
      </c>
      <c r="I2" s="20" t="n">
        <f aca="false">SUMIF(Payments!$C$2:$C$49,A2,Payments!$F$2:$F$49)</f>
        <v>1464949</v>
      </c>
      <c r="J2" s="21" t="n">
        <f aca="false">I2/$I$9</f>
        <v>0.12536813731036</v>
      </c>
      <c r="K2" s="17" t="n">
        <f aca="false">SUMIF(Payments!$C$2:$C$49,A2,Payments!$P$2:$P$49)</f>
        <v>2</v>
      </c>
    </row>
    <row r="3" customFormat="false" ht="15" hidden="false" customHeight="false" outlineLevel="0" collapsed="false">
      <c r="A3" s="17" t="s">
        <v>66</v>
      </c>
      <c r="B3" s="18" t="n">
        <v>43326</v>
      </c>
      <c r="C3" s="17" t="s">
        <v>173</v>
      </c>
      <c r="D3" s="17" t="s">
        <v>33</v>
      </c>
      <c r="E3" s="17" t="s">
        <v>172</v>
      </c>
      <c r="F3" s="18" t="n">
        <f aca="false">_xlfn.MINIFS(Payments!$B$2:$B$49,Payments!$C$2:$C$49,A3)</f>
        <v>45679</v>
      </c>
      <c r="G3" s="19" t="n">
        <f aca="false">F3-B3</f>
        <v>2353</v>
      </c>
      <c r="H3" s="17" t="n">
        <f aca="false">COUNTIF(Payments!$C$2:$C$49,A3)</f>
        <v>9</v>
      </c>
      <c r="I3" s="20" t="n">
        <f aca="false">SUMIF(Payments!$C$2:$C$49,A3,Payments!$F$2:$F$49)</f>
        <v>2314348</v>
      </c>
      <c r="J3" s="21" t="n">
        <f aca="false">I3/$I$9</f>
        <v>0.198058429234026</v>
      </c>
      <c r="K3" s="17" t="n">
        <f aca="false">SUMIF(Payments!$C$2:$C$49,A3,Payments!$P$2:$P$49)</f>
        <v>2</v>
      </c>
    </row>
    <row r="4" customFormat="false" ht="15" hidden="false" customHeight="false" outlineLevel="0" collapsed="false">
      <c r="A4" s="17" t="s">
        <v>70</v>
      </c>
      <c r="B4" s="18" t="n">
        <v>44207</v>
      </c>
      <c r="C4" s="17" t="s">
        <v>174</v>
      </c>
      <c r="D4" s="17" t="s">
        <v>33</v>
      </c>
      <c r="E4" s="17" t="s">
        <v>172</v>
      </c>
      <c r="F4" s="18" t="n">
        <f aca="false">_xlfn.MINIFS(Payments!$B$2:$B$49,Payments!$C$2:$C$49,A4)</f>
        <v>45679</v>
      </c>
      <c r="G4" s="19" t="n">
        <f aca="false">F4-B4</f>
        <v>1472</v>
      </c>
      <c r="H4" s="17" t="n">
        <f aca="false">COUNTIF(Payments!$C$2:$C$49,A4)</f>
        <v>7</v>
      </c>
      <c r="I4" s="20" t="n">
        <f aca="false">SUMIF(Payments!$C$2:$C$49,A4,Payments!$F$2:$F$49)</f>
        <v>601222</v>
      </c>
      <c r="J4" s="21" t="n">
        <f aca="false">I4/$I$9</f>
        <v>0.051451676645405</v>
      </c>
      <c r="K4" s="17" t="n">
        <f aca="false">SUMIF(Payments!$C$2:$C$49,A4,Payments!$P$2:$P$49)</f>
        <v>3</v>
      </c>
    </row>
    <row r="5" customFormat="false" ht="15" hidden="false" customHeight="false" outlineLevel="0" collapsed="false">
      <c r="A5" s="17" t="s">
        <v>53</v>
      </c>
      <c r="B5" s="18" t="n">
        <v>42916</v>
      </c>
      <c r="C5" s="17" t="s">
        <v>175</v>
      </c>
      <c r="D5" s="17" t="s">
        <v>33</v>
      </c>
      <c r="E5" s="17" t="s">
        <v>172</v>
      </c>
      <c r="F5" s="18" t="n">
        <f aca="false">_xlfn.MINIFS(Payments!$B$2:$B$49,Payments!$C$2:$C$49,A5)</f>
        <v>45662</v>
      </c>
      <c r="G5" s="19" t="n">
        <f aca="false">F5-B5</f>
        <v>2746</v>
      </c>
      <c r="H5" s="17" t="n">
        <f aca="false">COUNTIF(Payments!$C$2:$C$49,A5)</f>
        <v>6</v>
      </c>
      <c r="I5" s="20" t="n">
        <f aca="false">SUMIF(Payments!$C$2:$C$49,A5,Payments!$F$2:$F$49)</f>
        <v>685659</v>
      </c>
      <c r="J5" s="21" t="n">
        <f aca="false">I5/$I$9</f>
        <v>0.0586776684103571</v>
      </c>
      <c r="K5" s="17" t="n">
        <f aca="false">SUMIF(Payments!$C$2:$C$49,A5,Payments!$P$2:$P$49)</f>
        <v>2</v>
      </c>
    </row>
    <row r="6" customFormat="false" ht="23.85" hidden="false" customHeight="false" outlineLevel="0" collapsed="false">
      <c r="A6" s="17" t="s">
        <v>61</v>
      </c>
      <c r="B6" s="18" t="n">
        <v>45646</v>
      </c>
      <c r="C6" s="17" t="s">
        <v>176</v>
      </c>
      <c r="D6" s="17" t="s">
        <v>64</v>
      </c>
      <c r="E6" s="17" t="s">
        <v>177</v>
      </c>
      <c r="F6" s="18" t="n">
        <f aca="false">_xlfn.MINIFS(Payments!$B$2:$B$49,Payments!$C$2:$C$49,A6)</f>
        <v>45675</v>
      </c>
      <c r="G6" s="19" t="n">
        <f aca="false">F6-B6</f>
        <v>29</v>
      </c>
      <c r="H6" s="17" t="n">
        <f aca="false">COUNTIF(Payments!$C$2:$C$49,A6)</f>
        <v>10</v>
      </c>
      <c r="I6" s="20" t="n">
        <f aca="false">SUMIF(Payments!$C$2:$C$49,A6,Payments!$F$2:$F$49)</f>
        <v>4984000</v>
      </c>
      <c r="J6" s="21" t="n">
        <f aca="false">I6/$I$9</f>
        <v>0.426523241665638</v>
      </c>
      <c r="K6" s="17" t="n">
        <f aca="false">SUMIF(Payments!$C$2:$C$49,A6,Payments!$P$2:$P$49)</f>
        <v>30</v>
      </c>
    </row>
    <row r="7" customFormat="false" ht="23.85" hidden="false" customHeight="false" outlineLevel="0" collapsed="false">
      <c r="A7" s="17" t="s">
        <v>74</v>
      </c>
      <c r="B7" s="18" t="n">
        <v>45654</v>
      </c>
      <c r="C7" s="17" t="s">
        <v>178</v>
      </c>
      <c r="D7" s="17" t="s">
        <v>33</v>
      </c>
      <c r="E7" s="17" t="s">
        <v>177</v>
      </c>
      <c r="F7" s="18" t="n">
        <f aca="false">_xlfn.MINIFS(Payments!$B$2:$B$49,Payments!$C$2:$C$49,A7)</f>
        <v>45698</v>
      </c>
      <c r="G7" s="19" t="n">
        <f aca="false">F7-B7</f>
        <v>44</v>
      </c>
      <c r="H7" s="17" t="n">
        <f aca="false">COUNTIF(Payments!$C$2:$C$49,A7)</f>
        <v>5</v>
      </c>
      <c r="I7" s="20" t="n">
        <f aca="false">SUMIF(Payments!$C$2:$C$49,A7,Payments!$F$2:$F$49)</f>
        <v>1450000</v>
      </c>
      <c r="J7" s="21" t="n">
        <f aca="false">I7/$I$9</f>
        <v>0.124088824320862</v>
      </c>
      <c r="K7" s="17" t="n">
        <f aca="false">SUMIF(Payments!$C$2:$C$49,A7,Payments!$P$2:$P$49)</f>
        <v>5</v>
      </c>
    </row>
    <row r="8" customFormat="false" ht="15" hidden="false" customHeight="false" outlineLevel="0" collapsed="false">
      <c r="A8" s="17" t="s">
        <v>143</v>
      </c>
      <c r="B8" s="18" t="n">
        <v>44994</v>
      </c>
      <c r="C8" s="17" t="s">
        <v>174</v>
      </c>
      <c r="D8" s="17" t="s">
        <v>33</v>
      </c>
      <c r="E8" s="17" t="s">
        <v>172</v>
      </c>
      <c r="F8" s="18" t="n">
        <f aca="false">_xlfn.MINIFS(Payments!$B$2:$B$49,Payments!$C$2:$C$49,A8)</f>
        <v>45926</v>
      </c>
      <c r="G8" s="19" t="n">
        <f aca="false">F8-B8</f>
        <v>932</v>
      </c>
      <c r="H8" s="17" t="n">
        <f aca="false">COUNTIF(Payments!$C$2:$C$49,A8)</f>
        <v>1</v>
      </c>
      <c r="I8" s="20" t="n">
        <f aca="false">SUMIF(Payments!$C$2:$C$49,A8,Payments!$F$2:$F$49)</f>
        <v>185000</v>
      </c>
      <c r="J8" s="21" t="n">
        <f aca="false">I8/$I$9</f>
        <v>0.0158320224133513</v>
      </c>
      <c r="K8" s="17" t="n">
        <f aca="false">SUMIF(Payments!$C$2:$C$49,A8,Payments!$P$2:$P$49)</f>
        <v>0</v>
      </c>
    </row>
    <row r="9" customFormat="false" ht="15" hidden="false" customHeight="false" outlineLevel="0" collapsed="false">
      <c r="A9" s="6" t="s">
        <v>179</v>
      </c>
      <c r="H9" s="7" t="n">
        <f aca="false">SUM(H2:H8)</f>
        <v>48</v>
      </c>
      <c r="I9" s="7" t="n">
        <f aca="false">SUM(I2:I8)</f>
        <v>11685178</v>
      </c>
      <c r="J9" s="8" t="n">
        <f aca="false">SUM(J2:J8)</f>
        <v>1</v>
      </c>
      <c r="K9" s="7" t="n">
        <f aca="false">SUM(K2:K8)</f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2026-10-10T09:07:09Z</dcterms:created>
  <dc:creator>openpyxl</dc:creator>
  <dc:description/>
  <dc:language>en-US</dc:language>
  <cp:lastModifiedBy/>
  <dcterms:modified xsi:type="dcterms:W3CDTF">2026-10-10T09:07:09Z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